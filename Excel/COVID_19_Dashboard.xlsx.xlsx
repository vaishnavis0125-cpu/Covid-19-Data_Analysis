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0. Vaishnavi\COVID-19-Data-Analysis\"/>
    </mc:Choice>
  </mc:AlternateContent>
  <xr:revisionPtr revIDLastSave="0" documentId="13_ncr:1_{2C404878-35F8-4A14-AC11-2B9D45A8D9A5}" xr6:coauthVersionLast="47" xr6:coauthVersionMax="47" xr10:uidLastSave="{00000000-0000-0000-0000-000000000000}"/>
  <bookViews>
    <workbookView xWindow="-120" yWindow="-120" windowWidth="29040" windowHeight="15840" tabRatio="792" activeTab="8" xr2:uid="{BBD3E11A-7FF5-455F-8AED-C3987175FAC4}"/>
  </bookViews>
  <sheets>
    <sheet name="Cleaned_data" sheetId="1" r:id="rId1"/>
    <sheet name="Summary" sheetId="2" r:id="rId2"/>
    <sheet name="WHO_Region_Summary" sheetId="3" r:id="rId3"/>
    <sheet name="Top_Confirmed" sheetId="6" r:id="rId4"/>
    <sheet name="Top_Deaths" sheetId="5" r:id="rId5"/>
    <sheet name="Confirmed_VS_Deaths" sheetId="14" r:id="rId6"/>
    <sheet name="Confirmed Cases VS Recovered" sheetId="17" r:id="rId7"/>
    <sheet name="Confirmed Cases VS Active Cases" sheetId="18" r:id="rId8"/>
    <sheet name="Dashboard" sheetId="23" r:id="rId9"/>
    <sheet name="Sheet5" sheetId="19" state="hidden" r:id="rId10"/>
    <sheet name="Sheet6" sheetId="20" state="hidden" r:id="rId11"/>
    <sheet name="Sheet2" sheetId="16" state="hidden" r:id="rId12"/>
  </sheets>
  <definedNames>
    <definedName name="_xlnm._FilterDatabase" localSheetId="5" hidden="1">Sheet5!$J$1:$K$188</definedName>
  </definedNam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</calcChain>
</file>

<file path=xl/sharedStrings.xml><?xml version="1.0" encoding="utf-8"?>
<sst xmlns="http://schemas.openxmlformats.org/spreadsheetml/2006/main" count="1149" uniqueCount="254">
  <si>
    <t>Country_Region</t>
  </si>
  <si>
    <t>Confirmed</t>
  </si>
  <si>
    <t>Deaths</t>
  </si>
  <si>
    <t>Recovered</t>
  </si>
  <si>
    <t>Active</t>
  </si>
  <si>
    <t>New_cases</t>
  </si>
  <si>
    <t>New_deaths</t>
  </si>
  <si>
    <t>New_recovered</t>
  </si>
  <si>
    <t>Deaths___100_Cases</t>
  </si>
  <si>
    <t>Recovered___100_Cases</t>
  </si>
  <si>
    <t>Deaths___100_Recovered</t>
  </si>
  <si>
    <t>Confirmed_last_week</t>
  </si>
  <si>
    <t>1_week_change</t>
  </si>
  <si>
    <t>1_week_pct_increase</t>
  </si>
  <si>
    <t>WHO_Region</t>
  </si>
  <si>
    <t>Afghanistan</t>
  </si>
  <si>
    <t>Eastern Mediterranean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</si>
  <si>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</si>
  <si>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</si>
  <si>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</si>
  <si>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</si>
  <si>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</si>
  <si>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</si>
  <si>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</si>
  <si>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</si>
  <si>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</si>
  <si>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</si>
  <si>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</si>
  <si>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Western Pacific</t>
  </si>
  <si>
    <t>Austria</t>
  </si>
  <si>
    <t>Azerbaijan</t>
  </si>
  <si>
    <t>Bahamas</t>
  </si>
  <si>
    <t>Bahrain</t>
  </si>
  <si>
    <t>Bangladesh</t>
  </si>
  <si>
    <t>South-East Asia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</si>
  <si>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</si>
  <si>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</si>
  <si>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</si>
  <si>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</si>
  <si>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</si>
  <si>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</si>
  <si>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</si>
  <si>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</si>
  <si>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</si>
  <si>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</si>
  <si>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</si>
  <si>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</si>
  <si>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</si>
  <si>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</si>
  <si>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</si>
  <si>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</si>
  <si>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</si>
  <si>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</si>
  <si>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</si>
  <si>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inf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</si>
  <si>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</si>
  <si>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</si>
  <si>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</si>
  <si>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</si>
  <si>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</si>
  <si>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</si>
  <si>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</si>
  <si>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</si>
  <si>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</si>
  <si>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</si>
  <si>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</si>
  <si>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</si>
  <si>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</si>
  <si>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</si>
  <si>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</si>
  <si>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</si>
  <si>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</si>
  <si>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</si>
  <si>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</si>
  <si>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</si>
  <si>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</si>
  <si>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</si>
  <si>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</si>
  <si>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</si>
  <si>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</si>
  <si>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</si>
  <si>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</si>
  <si>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</si>
  <si>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</si>
  <si>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</si>
  <si>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</si>
  <si>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</si>
  <si>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</si>
  <si>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</si>
  <si>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</si>
  <si>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</si>
  <si>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</si>
  <si>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</si>
  <si>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</si>
  <si>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</si>
  <si>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</si>
  <si>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</si>
  <si>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</si>
  <si>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</si>
  <si>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</si>
  <si>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</si>
  <si>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</si>
  <si>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</si>
  <si>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</si>
  <si>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</si>
  <si>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</si>
  <si>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</si>
  <si>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</si>
  <si>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</si>
  <si>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</si>
  <si>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</si>
  <si>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</si>
  <si>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</si>
  <si>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</si>
  <si>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</si>
  <si>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</si>
  <si>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</si>
  <si>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</si>
  <si>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</si>
  <si>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</si>
  <si>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</si>
  <si>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</si>
  <si>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</si>
  <si>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</si>
  <si>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</si>
  <si>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</si>
  <si>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</si>
  <si>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</si>
  <si>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</si>
  <si>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</si>
  <si>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</si>
  <si>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</si>
  <si>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</si>
  <si>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</si>
  <si>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</si>
  <si>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</si>
  <si>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</si>
  <si>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</si>
  <si>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</si>
  <si>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</si>
  <si>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</si>
  <si>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</si>
  <si>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</si>
  <si>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</si>
  <si>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</si>
  <si>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</si>
  <si>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</si>
  <si>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</si>
  <si>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</si>
  <si>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</si>
  <si>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</si>
  <si>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</si>
  <si>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</si>
  <si>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</si>
  <si>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</si>
  <si>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</si>
  <si>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</si>
  <si>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</si>
  <si>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</si>
  <si>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</si>
  <si>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</si>
  <si>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</si>
  <si>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</si>
  <si>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</si>
  <si>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</si>
  <si>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</si>
  <si>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</si>
  <si>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</si>
  <si>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</si>
  <si>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</si>
  <si>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</si>
  <si>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</si>
  <si>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</si>
  <si>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</si>
  <si>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</si>
  <si>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</si>
  <si>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</si>
  <si>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</si>
  <si>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</si>
  <si>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</si>
  <si>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</si>
  <si>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</si>
  <si>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</si>
  <si>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</si>
  <si>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</si>
  <si>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</si>
  <si>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</si>
  <si>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</si>
  <si>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</si>
  <si>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</si>
  <si>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</si>
  <si>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</si>
  <si>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</si>
  <si>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</si>
  <si>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</si>
  <si>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</si>
  <si>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</si>
  <si>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</si>
  <si>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</si>
  <si>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</si>
  <si>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</si>
  <si>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</si>
  <si>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</si>
  <si>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</si>
  <si>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</si>
  <si>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</si>
  <si>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</si>
  <si>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</si>
  <si>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</si>
  <si>
    <t>Metric</t>
  </si>
  <si>
    <t>Value</t>
  </si>
  <si>
    <t>Total confirmed</t>
  </si>
  <si>
    <t>Total deaths</t>
  </si>
  <si>
    <t>Total recovered</t>
  </si>
  <si>
    <t>Total active</t>
  </si>
  <si>
    <t>Grand Total</t>
  </si>
  <si>
    <t>Sum of Confirmed</t>
  </si>
  <si>
    <t>Sum of Deaths</t>
  </si>
  <si>
    <t>Sum of Recovered</t>
  </si>
  <si>
    <t>Sum of Active</t>
  </si>
  <si>
    <t>Africa Confirmed</t>
  </si>
  <si>
    <t>Africa Deaths</t>
  </si>
  <si>
    <t>America Confirmed</t>
  </si>
  <si>
    <t>America Deaths</t>
  </si>
  <si>
    <t>Eastern Mediterranean Confirmed</t>
  </si>
  <si>
    <t>Eastern Mediterranean Deaths</t>
  </si>
  <si>
    <t>Europe Confirmed</t>
  </si>
  <si>
    <t>Europe Deaths</t>
  </si>
  <si>
    <t>South-East Asia Confirmed</t>
  </si>
  <si>
    <t>South-East Asia Deaths</t>
  </si>
  <si>
    <t xml:space="preserve">Western Pacific Confirmed </t>
  </si>
  <si>
    <t>Western Pacific Deaths</t>
  </si>
  <si>
    <t>WHO Regions</t>
  </si>
  <si>
    <t>Country</t>
  </si>
  <si>
    <t xml:space="preserve">  </t>
  </si>
  <si>
    <t>New Case Growth Rate</t>
  </si>
  <si>
    <t>Recovery Gap</t>
  </si>
  <si>
    <t>Case Fatality Ratio</t>
  </si>
  <si>
    <t>Recovery to Death Ratio</t>
  </si>
  <si>
    <t>Active Case %</t>
  </si>
  <si>
    <t>Africa Recovered</t>
  </si>
  <si>
    <t>America Recovered</t>
  </si>
  <si>
    <t>Eastern Mediterranean Recovered</t>
  </si>
  <si>
    <t>Europe Recovered</t>
  </si>
  <si>
    <t>South-East Asia Recovered</t>
  </si>
  <si>
    <t>Western Pacific Confirmed</t>
  </si>
  <si>
    <t>Western Pacific Recovered</t>
  </si>
  <si>
    <t>Africa Active</t>
  </si>
  <si>
    <t>America  Active</t>
  </si>
  <si>
    <t>Eastern Mediterranean  Active</t>
  </si>
  <si>
    <t>Europe  Active</t>
  </si>
  <si>
    <t>South-East Asia  Active</t>
  </si>
  <si>
    <t>Western Pacific  Active</t>
  </si>
  <si>
    <t>Countries 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</si>
</sst>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3DBFF"/>
        <bgColor indexed="64"/>
      </patternFill>
    </fill>
    <fill>
      <patternFill patternType="solid">
        <fgColor rgb="FF6373BA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0" fillId="0" borderId="4" xfId="0" applyBorder="1"/>
    <xf numFmtId="0" fontId="1" fillId="3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3" fillId="2" borderId="5" xfId="0" applyFont="1" applyFill="1" applyBorder="1"/>
    <xf numFmtId="0" fontId="2" fillId="0" borderId="0" xfId="0" applyFont="1"/>
    <xf numFmtId="0" fontId="2" fillId="4" borderId="0" xfId="0" applyFont="1" applyFill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14"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4B4B"/>
      <color rgb="FFC5D3FF"/>
      <color rgb="FFFFFF5D"/>
      <color rgb="FFB6DF89"/>
      <color rgb="FFFF8BAC"/>
      <color rgb="FFFFC1D3"/>
      <color rgb="FFA7D1EB"/>
      <color rgb="FFFF9393"/>
      <color rgb="FFF74779"/>
      <color rgb="FFFF73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Countries by Confirmed COVID-19 Cases</a:t>
            </a:r>
          </a:p>
        </c:rich>
      </c:tx>
      <c:layout>
        <c:manualLayout>
          <c:xMode val="edge"/>
          <c:yMode val="edge"/>
          <c:x val="0.16207926152775948"/>
          <c:y val="2.92727309013296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Confirmed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Sheet2!$A$2:$A$11</c:f>
              <c:strCache>
                <c:ptCount val="10"/>
                <c:pt idx="0">
                  <c:v>US</c:v>
                </c:pt>
                <c:pt idx="1">
                  <c:v>Brazil</c:v>
                </c:pt>
                <c:pt idx="2">
                  <c:v>India</c:v>
                </c:pt>
                <c:pt idx="3">
                  <c:v>Russia</c:v>
                </c:pt>
                <c:pt idx="4">
                  <c:v>South Africa</c:v>
                </c:pt>
                <c:pt idx="5">
                  <c:v>Mexico</c:v>
                </c:pt>
                <c:pt idx="6">
                  <c:v>Peru</c:v>
                </c:pt>
                <c:pt idx="7">
                  <c:v>Chile</c:v>
                </c:pt>
                <c:pt idx="8">
                  <c:v>United Kingdom</c:v>
                </c:pt>
                <c:pt idx="9">
                  <c:v>Iran</c:v>
                </c:pt>
              </c:strCache>
            </c:strRef>
          </c:cat>
          <c:val>
            <c:numRef>
              <c:f>Sheet2!$B$2:$B$11</c:f>
              <c:numCache>
                <c:formatCode>General</c:formatCode>
                <c:ptCount val="10"/>
                <c:pt idx="0">
                  <c:v>4290259</c:v>
                </c:pt>
                <c:pt idx="1">
                  <c:v>2442375</c:v>
                </c:pt>
                <c:pt idx="2">
                  <c:v>1480073</c:v>
                </c:pt>
                <c:pt idx="3">
                  <c:v>816680</c:v>
                </c:pt>
                <c:pt idx="4">
                  <c:v>452529</c:v>
                </c:pt>
                <c:pt idx="5">
                  <c:v>395489</c:v>
                </c:pt>
                <c:pt idx="6">
                  <c:v>389717</c:v>
                </c:pt>
                <c:pt idx="7">
                  <c:v>347923</c:v>
                </c:pt>
                <c:pt idx="8">
                  <c:v>301708</c:v>
                </c:pt>
                <c:pt idx="9">
                  <c:v>293606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D-42C5-9DBE-14ACF10759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65798328"/>
        <c:axId val="565799048"/>
      </c:barChart>
      <c:catAx>
        <c:axId val="565798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799048"/>
        <c:crosses val="autoZero"/>
        <c:auto val="1"/>
        <c:lblAlgn val="ctr"/>
        <c:lblOffset val="100"/>
        <c:noMultiLvlLbl val="0"/>
      </c:catAx>
      <c:valAx>
        <c:axId val="56579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Confirmed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798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Top 10 Countries by COVID-19 Deaths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Sum of Deaths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Sheet2!$D$2:$D$11</c:f>
              <c:strCache>
                <c:ptCount val="10"/>
                <c:pt idx="0">
                  <c:v>US</c:v>
                </c:pt>
                <c:pt idx="1">
                  <c:v>Brazil</c:v>
                </c:pt>
                <c:pt idx="2">
                  <c:v>United Kingdom</c:v>
                </c:pt>
                <c:pt idx="3">
                  <c:v>Mexico</c:v>
                </c:pt>
                <c:pt idx="4">
                  <c:v>Italy</c:v>
                </c:pt>
                <c:pt idx="5">
                  <c:v>India</c:v>
                </c:pt>
                <c:pt idx="6">
                  <c:v>France</c:v>
                </c:pt>
                <c:pt idx="7">
                  <c:v>Spain</c:v>
                </c:pt>
                <c:pt idx="8">
                  <c:v>Peru</c:v>
                </c:pt>
                <c:pt idx="9">
                  <c:v>Iran</c:v>
                </c:pt>
              </c:strCache>
            </c:strRef>
          </c:cat>
          <c:val>
            <c:numRef>
              <c:f>Sheet2!$E$2:$E$11</c:f>
              <c:numCache>
                <c:formatCode>General</c:formatCode>
                <c:ptCount val="10"/>
                <c:pt idx="0">
                  <c:v>148011</c:v>
                </c:pt>
                <c:pt idx="1">
                  <c:v>87618</c:v>
                </c:pt>
                <c:pt idx="2">
                  <c:v>45844</c:v>
                </c:pt>
                <c:pt idx="3">
                  <c:v>44022</c:v>
                </c:pt>
                <c:pt idx="4">
                  <c:v>35112</c:v>
                </c:pt>
                <c:pt idx="5">
                  <c:v>33408</c:v>
                </c:pt>
                <c:pt idx="6">
                  <c:v>30212</c:v>
                </c:pt>
                <c:pt idx="7">
                  <c:v>28432</c:v>
                </c:pt>
                <c:pt idx="8">
                  <c:v>18418</c:v>
                </c:pt>
                <c:pt idx="9">
                  <c:v>15912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7-405D-AAA6-311FF9A4440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69348800"/>
        <c:axId val="377000280"/>
      </c:barChart>
      <c:catAx>
        <c:axId val="369348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00280"/>
        <c:crosses val="autoZero"/>
        <c:auto val="1"/>
        <c:lblAlgn val="ctr"/>
        <c:lblOffset val="100"/>
        <c:noMultiLvlLbl val="0"/>
      </c:catAx>
      <c:valAx>
        <c:axId val="37700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Deaths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34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Top 10 Countries by </a:t>
            </a:r>
            <a:r>
              <a:rPr lang="en-IN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Recoverd from </a:t>
            </a:r>
            <a:r>
              <a:rPr lang="en-IN" sz="1600" b="1" i="0" u="none" strike="noStrike" baseline="0"/>
              <a:t>COVID-19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Sum of Recovered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Sheet2!$G$2:$G$11</c:f>
              <c:strCache>
                <c:ptCount val="10"/>
                <c:pt idx="0">
                  <c:v>Brazil</c:v>
                </c:pt>
                <c:pt idx="1">
                  <c:v>US</c:v>
                </c:pt>
                <c:pt idx="2">
                  <c:v>India</c:v>
                </c:pt>
                <c:pt idx="3">
                  <c:v>Russia</c:v>
                </c:pt>
                <c:pt idx="4">
                  <c:v>Chile</c:v>
                </c:pt>
                <c:pt idx="5">
                  <c:v>Mexico</c:v>
                </c:pt>
                <c:pt idx="6">
                  <c:v>South Africa</c:v>
                </c:pt>
                <c:pt idx="7">
                  <c:v>Peru</c:v>
                </c:pt>
                <c:pt idx="8">
                  <c:v>Iran</c:v>
                </c:pt>
                <c:pt idx="9">
                  <c:v>Pakistan</c:v>
                </c:pt>
              </c:strCache>
            </c:strRef>
          </c:cat>
          <c:val>
            <c:numRef>
              <c:f>Sheet2!$H$2:$H$11</c:f>
              <c:numCache>
                <c:formatCode>General</c:formatCode>
                <c:ptCount val="10"/>
                <c:pt idx="0">
                  <c:v>1846641</c:v>
                </c:pt>
                <c:pt idx="1">
                  <c:v>1325804</c:v>
                </c:pt>
                <c:pt idx="2">
                  <c:v>951166</c:v>
                </c:pt>
                <c:pt idx="3">
                  <c:v>602249</c:v>
                </c:pt>
                <c:pt idx="4">
                  <c:v>319954</c:v>
                </c:pt>
                <c:pt idx="5">
                  <c:v>303810</c:v>
                </c:pt>
                <c:pt idx="6">
                  <c:v>274925</c:v>
                </c:pt>
                <c:pt idx="7">
                  <c:v>272547</c:v>
                </c:pt>
                <c:pt idx="8">
                  <c:v>255144</c:v>
                </c:pt>
                <c:pt idx="9">
                  <c:v>241026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D-42E4-83CF-F81BE9E5CA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06730344"/>
        <c:axId val="506730704"/>
      </c:barChart>
      <c:catAx>
        <c:axId val="506730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30704"/>
        <c:crosses val="autoZero"/>
        <c:auto val="1"/>
        <c:lblAlgn val="ctr"/>
        <c:lblOffset val="100"/>
        <c:noMultiLvlLbl val="0"/>
      </c:catAx>
      <c:valAx>
        <c:axId val="50673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Recovery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30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 Countries by Active COVID-19 Cases</a:t>
            </a:r>
            <a:endParaRPr lang="en-US"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Sheet2!$K$1</c:f>
              <c:strCache>
                <c:ptCount val="1"/>
                <c:pt idx="0">
                  <c:v>Sum of Active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Sheet2!$J$2:$J$11</c:f>
              <c:strCache>
                <c:ptCount val="10"/>
                <c:pt idx="0">
                  <c:v>US</c:v>
                </c:pt>
                <c:pt idx="1">
                  <c:v>Brazil</c:v>
                </c:pt>
                <c:pt idx="2">
                  <c:v>India</c:v>
                </c:pt>
                <c:pt idx="3">
                  <c:v>United Kingdom</c:v>
                </c:pt>
                <c:pt idx="4">
                  <c:v>Russia</c:v>
                </c:pt>
                <c:pt idx="5">
                  <c:v>South Africa</c:v>
                </c:pt>
                <c:pt idx="6">
                  <c:v>Colombia</c:v>
                </c:pt>
                <c:pt idx="7">
                  <c:v>France</c:v>
                </c:pt>
                <c:pt idx="8">
                  <c:v>Canada</c:v>
                </c:pt>
                <c:pt idx="9">
                  <c:v>Peru</c:v>
                </c:pt>
              </c:strCache>
            </c:strRef>
          </c:cat>
          <c:val>
            <c:numRef>
              <c:f>Sheet2!$K$2:$K$11</c:f>
              <c:numCache>
                <c:formatCode>General</c:formatCode>
                <c:ptCount val="10"/>
                <c:pt idx="0">
                  <c:v>2816444</c:v>
                </c:pt>
                <c:pt idx="1">
                  <c:v>508116</c:v>
                </c:pt>
                <c:pt idx="2">
                  <c:v>495499</c:v>
                </c:pt>
                <c:pt idx="3">
                  <c:v>254427</c:v>
                </c:pt>
                <c:pt idx="4">
                  <c:v>201097</c:v>
                </c:pt>
                <c:pt idx="5">
                  <c:v>170537</c:v>
                </c:pt>
                <c:pt idx="6">
                  <c:v>117163</c:v>
                </c:pt>
                <c:pt idx="7">
                  <c:v>108928</c:v>
                </c:pt>
                <c:pt idx="8">
                  <c:v>107514</c:v>
                </c:pt>
                <c:pt idx="9">
                  <c:v>98752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C-400C-B95A-346E4D7FA6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18897824"/>
        <c:axId val="661870704"/>
      </c:barChart>
      <c:catAx>
        <c:axId val="51889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870704"/>
        <c:crosses val="autoZero"/>
        <c:auto val="1"/>
        <c:lblAlgn val="ctr"/>
        <c:lblOffset val="100"/>
        <c:noMultiLvlLbl val="0"/>
      </c:catAx>
      <c:valAx>
        <c:axId val="66187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Active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89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COVID-19 Case Distribution Across WHO Regions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Sheet2!$N$1</c:f>
              <c:strCache>
                <c:ptCount val="1"/>
                <c:pt idx="0">
                  <c:v>Sum of Confirmed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81-4825-A824-D2FE3A7925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581-4825-A824-D2FE3A7925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581-4825-A824-D2FE3A7925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581-4825-A824-D2FE3A7925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581-4825-A824-D2FE3A7925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581-4825-A824-D2FE3A79256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Sheet2!$M$2:$M$7</c:f>
              <c:strCache>
                <c:ptCount val="6"/>
                <c:pt idx="0">
                  <c:v>Americas</c:v>
                </c:pt>
                <c:pt idx="1">
                  <c:v>Europe</c:v>
                </c:pt>
                <c:pt idx="2">
                  <c:v>South-East Asia</c:v>
                </c:pt>
                <c:pt idx="3">
                  <c:v>Eastern Mediterranean</c:v>
                </c:pt>
                <c:pt idx="4">
                  <c:v>Africa</c:v>
                </c:pt>
                <c:pt idx="5">
                  <c:v>Western Pacific</c:v>
                </c:pt>
              </c:strCache>
            </c:strRef>
          </c:cat>
          <c:val>
            <c:numRef>
              <c:f>Sheet2!$N$2:$N$7</c:f>
              <c:numCache>
                <c:formatCode>General</c:formatCode>
                <c:ptCount val="6"/>
                <c:pt idx="0">
                  <c:v>8839286</c:v>
                </c:pt>
                <c:pt idx="1">
                  <c:v>3299523</c:v>
                </c:pt>
                <c:pt idx="2">
                  <c:v>1835297</c:v>
                </c:pt>
                <c:pt idx="3">
                  <c:v>1490744</c:v>
                </c:pt>
                <c:pt idx="4">
                  <c:v>723207</c:v>
                </c:pt>
                <c:pt idx="5">
                  <c:v>292428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581-4825-A824-D2FE3A79256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33846224174715"/>
          <c:y val="0.25832108695065226"/>
          <c:w val="0.24813141695933763"/>
          <c:h val="0.4908000070021715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Relationship Between Confirmed Cases and Deaths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Sheet5!$H$1</c:f>
              <c:strCache>
                <c:ptCount val="1"/>
                <c:pt idx="0">
                  <c:v>Africa Deaths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Sheet5!$G$2:$G$49</c:f>
              <c:numCache>
                <c:formatCode>General</c:formatCode>
                <c:ptCount val="48"/>
                <c:pt idx="0">
                  <c:v>27973</c:v>
                </c:pt>
                <c:pt idx="1">
                  <c:v>950</c:v>
                </c:pt>
                <c:pt idx="2">
                  <c:v>1770</c:v>
                </c:pt>
                <c:pt idx="3">
                  <c:v>739</c:v>
                </c:pt>
                <c:pt idx="4">
                  <c:v>1100</c:v>
                </c:pt>
                <c:pt idx="5">
                  <c:v>378</c:v>
                </c:pt>
                <c:pt idx="6">
                  <c:v>2328</c:v>
                </c:pt>
                <c:pt idx="7">
                  <c:v>17110</c:v>
                </c:pt>
                <c:pt idx="8">
                  <c:v>4599</c:v>
                </c:pt>
                <c:pt idx="9">
                  <c:v>922</c:v>
                </c:pt>
                <c:pt idx="10">
                  <c:v>354</c:v>
                </c:pt>
                <c:pt idx="11">
                  <c:v>3200</c:v>
                </c:pt>
                <c:pt idx="12">
                  <c:v>8844</c:v>
                </c:pt>
                <c:pt idx="13">
                  <c:v>15655</c:v>
                </c:pt>
                <c:pt idx="14">
                  <c:v>3071</c:v>
                </c:pt>
                <c:pt idx="15">
                  <c:v>265</c:v>
                </c:pt>
                <c:pt idx="16">
                  <c:v>2316</c:v>
                </c:pt>
                <c:pt idx="17">
                  <c:v>14547</c:v>
                </c:pt>
                <c:pt idx="18">
                  <c:v>7189</c:v>
                </c:pt>
                <c:pt idx="19">
                  <c:v>326</c:v>
                </c:pt>
                <c:pt idx="20">
                  <c:v>33624</c:v>
                </c:pt>
                <c:pt idx="21">
                  <c:v>7055</c:v>
                </c:pt>
                <c:pt idx="22">
                  <c:v>1954</c:v>
                </c:pt>
                <c:pt idx="23">
                  <c:v>17975</c:v>
                </c:pt>
                <c:pt idx="24">
                  <c:v>505</c:v>
                </c:pt>
                <c:pt idx="25">
                  <c:v>1167</c:v>
                </c:pt>
                <c:pt idx="26">
                  <c:v>9690</c:v>
                </c:pt>
                <c:pt idx="27">
                  <c:v>3664</c:v>
                </c:pt>
                <c:pt idx="28">
                  <c:v>2513</c:v>
                </c:pt>
                <c:pt idx="29">
                  <c:v>6208</c:v>
                </c:pt>
                <c:pt idx="30">
                  <c:v>344</c:v>
                </c:pt>
                <c:pt idx="31">
                  <c:v>1701</c:v>
                </c:pt>
                <c:pt idx="32">
                  <c:v>1843</c:v>
                </c:pt>
                <c:pt idx="33">
                  <c:v>1132</c:v>
                </c:pt>
                <c:pt idx="34">
                  <c:v>41180</c:v>
                </c:pt>
                <c:pt idx="35">
                  <c:v>1879</c:v>
                </c:pt>
                <c:pt idx="36">
                  <c:v>865</c:v>
                </c:pt>
                <c:pt idx="37">
                  <c:v>9764</c:v>
                </c:pt>
                <c:pt idx="38">
                  <c:v>114</c:v>
                </c:pt>
                <c:pt idx="39">
                  <c:v>1783</c:v>
                </c:pt>
                <c:pt idx="40">
                  <c:v>452529</c:v>
                </c:pt>
                <c:pt idx="41">
                  <c:v>2305</c:v>
                </c:pt>
                <c:pt idx="42">
                  <c:v>509</c:v>
                </c:pt>
                <c:pt idx="43">
                  <c:v>874</c:v>
                </c:pt>
                <c:pt idx="44">
                  <c:v>1128</c:v>
                </c:pt>
                <c:pt idx="45">
                  <c:v>10</c:v>
                </c:pt>
                <c:pt idx="46">
                  <c:v>4552</c:v>
                </c:pt>
                <c:pt idx="47">
                  <c:v>2704</c:v>
                </c:pt>
              </c:numCache>
            </c:numRef>
          </c:xVal>
          <c:yVal>
            <c:numRef>
              <c:f>Sheet5!$H$2:$H$49</c:f>
              <c:numCache>
                <c:formatCode>General</c:formatCode>
                <c:ptCount val="48"/>
                <c:pt idx="0">
                  <c:v>1163</c:v>
                </c:pt>
                <c:pt idx="1">
                  <c:v>41</c:v>
                </c:pt>
                <c:pt idx="2">
                  <c:v>35</c:v>
                </c:pt>
                <c:pt idx="3">
                  <c:v>2</c:v>
                </c:pt>
                <c:pt idx="4">
                  <c:v>53</c:v>
                </c:pt>
                <c:pt idx="5">
                  <c:v>1</c:v>
                </c:pt>
                <c:pt idx="6">
                  <c:v>22</c:v>
                </c:pt>
                <c:pt idx="7">
                  <c:v>391</c:v>
                </c:pt>
                <c:pt idx="8">
                  <c:v>59</c:v>
                </c:pt>
                <c:pt idx="9">
                  <c:v>75</c:v>
                </c:pt>
                <c:pt idx="10">
                  <c:v>7</c:v>
                </c:pt>
                <c:pt idx="11">
                  <c:v>54</c:v>
                </c:pt>
                <c:pt idx="12">
                  <c:v>208</c:v>
                </c:pt>
                <c:pt idx="13">
                  <c:v>96</c:v>
                </c:pt>
                <c:pt idx="14">
                  <c:v>51</c:v>
                </c:pt>
                <c:pt idx="15">
                  <c:v>0</c:v>
                </c:pt>
                <c:pt idx="16">
                  <c:v>34</c:v>
                </c:pt>
                <c:pt idx="17">
                  <c:v>228</c:v>
                </c:pt>
                <c:pt idx="18">
                  <c:v>49</c:v>
                </c:pt>
                <c:pt idx="19">
                  <c:v>8</c:v>
                </c:pt>
                <c:pt idx="20">
                  <c:v>168</c:v>
                </c:pt>
                <c:pt idx="21">
                  <c:v>45</c:v>
                </c:pt>
                <c:pt idx="22">
                  <c:v>26</c:v>
                </c:pt>
                <c:pt idx="23">
                  <c:v>285</c:v>
                </c:pt>
                <c:pt idx="24">
                  <c:v>12</c:v>
                </c:pt>
                <c:pt idx="25">
                  <c:v>72</c:v>
                </c:pt>
                <c:pt idx="26">
                  <c:v>91</c:v>
                </c:pt>
                <c:pt idx="27">
                  <c:v>99</c:v>
                </c:pt>
                <c:pt idx="28">
                  <c:v>124</c:v>
                </c:pt>
                <c:pt idx="29">
                  <c:v>156</c:v>
                </c:pt>
                <c:pt idx="30">
                  <c:v>10</c:v>
                </c:pt>
                <c:pt idx="31">
                  <c:v>11</c:v>
                </c:pt>
                <c:pt idx="32">
                  <c:v>8</c:v>
                </c:pt>
                <c:pt idx="33">
                  <c:v>69</c:v>
                </c:pt>
                <c:pt idx="34">
                  <c:v>860</c:v>
                </c:pt>
                <c:pt idx="35">
                  <c:v>5</c:v>
                </c:pt>
                <c:pt idx="36">
                  <c:v>14</c:v>
                </c:pt>
                <c:pt idx="37">
                  <c:v>194</c:v>
                </c:pt>
                <c:pt idx="38">
                  <c:v>0</c:v>
                </c:pt>
                <c:pt idx="39">
                  <c:v>66</c:v>
                </c:pt>
                <c:pt idx="40">
                  <c:v>7067</c:v>
                </c:pt>
                <c:pt idx="41">
                  <c:v>46</c:v>
                </c:pt>
                <c:pt idx="42">
                  <c:v>21</c:v>
                </c:pt>
                <c:pt idx="43">
                  <c:v>18</c:v>
                </c:pt>
                <c:pt idx="44">
                  <c:v>2</c:v>
                </c:pt>
                <c:pt idx="45">
                  <c:v>1</c:v>
                </c:pt>
                <c:pt idx="46">
                  <c:v>140</c:v>
                </c:pt>
                <c:pt idx="47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AB-4327-B16D-4F58121904C4}"/>
            </c:ext>
          </c:extLst>
        </c:ser>
        <c:ser>
          <c:idx val="1"/>
          <c:order val="1"/>
          <c:tx>
            <c:strRef>
              <c:f>Sheet5!$K$1</c:f>
              <c:strCache>
                <c:ptCount val="1"/>
                <c:pt idx="0">
                  <c:v>America Deaths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Sheet5!$J$2:$J$36</c:f>
              <c:numCache>
                <c:formatCode>General</c:formatCode>
                <c:ptCount val="35"/>
                <c:pt idx="0">
                  <c:v>86</c:v>
                </c:pt>
                <c:pt idx="1">
                  <c:v>167416</c:v>
                </c:pt>
                <c:pt idx="2">
                  <c:v>382</c:v>
                </c:pt>
                <c:pt idx="3">
                  <c:v>110</c:v>
                </c:pt>
                <c:pt idx="4">
                  <c:v>48</c:v>
                </c:pt>
                <c:pt idx="5">
                  <c:v>71181</c:v>
                </c:pt>
                <c:pt idx="6">
                  <c:v>2442375</c:v>
                </c:pt>
                <c:pt idx="7">
                  <c:v>116458</c:v>
                </c:pt>
                <c:pt idx="8">
                  <c:v>347923</c:v>
                </c:pt>
                <c:pt idx="9">
                  <c:v>257101</c:v>
                </c:pt>
                <c:pt idx="10">
                  <c:v>15841</c:v>
                </c:pt>
                <c:pt idx="11">
                  <c:v>2532</c:v>
                </c:pt>
                <c:pt idx="12">
                  <c:v>18</c:v>
                </c:pt>
                <c:pt idx="13">
                  <c:v>64156</c:v>
                </c:pt>
                <c:pt idx="14">
                  <c:v>81161</c:v>
                </c:pt>
                <c:pt idx="15">
                  <c:v>15035</c:v>
                </c:pt>
                <c:pt idx="16">
                  <c:v>23</c:v>
                </c:pt>
                <c:pt idx="17">
                  <c:v>45309</c:v>
                </c:pt>
                <c:pt idx="18">
                  <c:v>389</c:v>
                </c:pt>
                <c:pt idx="19">
                  <c:v>7340</c:v>
                </c:pt>
                <c:pt idx="20">
                  <c:v>39741</c:v>
                </c:pt>
                <c:pt idx="21">
                  <c:v>853</c:v>
                </c:pt>
                <c:pt idx="22">
                  <c:v>395489</c:v>
                </c:pt>
                <c:pt idx="23">
                  <c:v>3439</c:v>
                </c:pt>
                <c:pt idx="24">
                  <c:v>61442</c:v>
                </c:pt>
                <c:pt idx="25">
                  <c:v>4548</c:v>
                </c:pt>
                <c:pt idx="26">
                  <c:v>389717</c:v>
                </c:pt>
                <c:pt idx="27">
                  <c:v>17</c:v>
                </c:pt>
                <c:pt idx="28">
                  <c:v>24</c:v>
                </c:pt>
                <c:pt idx="29">
                  <c:v>52</c:v>
                </c:pt>
                <c:pt idx="30">
                  <c:v>1483</c:v>
                </c:pt>
                <c:pt idx="31">
                  <c:v>148</c:v>
                </c:pt>
                <c:pt idx="32">
                  <c:v>4290259</c:v>
                </c:pt>
                <c:pt idx="33">
                  <c:v>1202</c:v>
                </c:pt>
                <c:pt idx="34">
                  <c:v>15988</c:v>
                </c:pt>
              </c:numCache>
            </c:numRef>
          </c:xVal>
          <c:yVal>
            <c:numRef>
              <c:f>Sheet5!$K$2:$K$36</c:f>
              <c:numCache>
                <c:formatCode>General</c:formatCode>
                <c:ptCount val="35"/>
                <c:pt idx="0">
                  <c:v>3</c:v>
                </c:pt>
                <c:pt idx="1">
                  <c:v>3059</c:v>
                </c:pt>
                <c:pt idx="2">
                  <c:v>11</c:v>
                </c:pt>
                <c:pt idx="3">
                  <c:v>7</c:v>
                </c:pt>
                <c:pt idx="4">
                  <c:v>2</c:v>
                </c:pt>
                <c:pt idx="5">
                  <c:v>2647</c:v>
                </c:pt>
                <c:pt idx="6">
                  <c:v>87618</c:v>
                </c:pt>
                <c:pt idx="7">
                  <c:v>8944</c:v>
                </c:pt>
                <c:pt idx="8">
                  <c:v>9187</c:v>
                </c:pt>
                <c:pt idx="9">
                  <c:v>8777</c:v>
                </c:pt>
                <c:pt idx="10">
                  <c:v>115</c:v>
                </c:pt>
                <c:pt idx="11">
                  <c:v>87</c:v>
                </c:pt>
                <c:pt idx="12">
                  <c:v>0</c:v>
                </c:pt>
                <c:pt idx="13">
                  <c:v>1083</c:v>
                </c:pt>
                <c:pt idx="14">
                  <c:v>5532</c:v>
                </c:pt>
                <c:pt idx="15">
                  <c:v>408</c:v>
                </c:pt>
                <c:pt idx="16">
                  <c:v>0</c:v>
                </c:pt>
                <c:pt idx="17">
                  <c:v>1761</c:v>
                </c:pt>
                <c:pt idx="18">
                  <c:v>20</c:v>
                </c:pt>
                <c:pt idx="19">
                  <c:v>158</c:v>
                </c:pt>
                <c:pt idx="20">
                  <c:v>1166</c:v>
                </c:pt>
                <c:pt idx="21">
                  <c:v>10</c:v>
                </c:pt>
                <c:pt idx="22">
                  <c:v>44022</c:v>
                </c:pt>
                <c:pt idx="23">
                  <c:v>108</c:v>
                </c:pt>
                <c:pt idx="24">
                  <c:v>1322</c:v>
                </c:pt>
                <c:pt idx="25">
                  <c:v>43</c:v>
                </c:pt>
                <c:pt idx="26">
                  <c:v>18418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24</c:v>
                </c:pt>
                <c:pt idx="31">
                  <c:v>8</c:v>
                </c:pt>
                <c:pt idx="32">
                  <c:v>148011</c:v>
                </c:pt>
                <c:pt idx="33">
                  <c:v>35</c:v>
                </c:pt>
                <c:pt idx="34">
                  <c:v>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AB-4327-B16D-4F58121904C4}"/>
            </c:ext>
          </c:extLst>
        </c:ser>
        <c:ser>
          <c:idx val="2"/>
          <c:order val="2"/>
          <c:tx>
            <c:strRef>
              <c:f>Sheet5!$N$1</c:f>
              <c:strCache>
                <c:ptCount val="1"/>
                <c:pt idx="0">
                  <c:v>Eastern Mediterranean Deaths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Sheet5!$M$2:$M$23</c:f>
              <c:numCache>
                <c:formatCode>General</c:formatCode>
                <c:ptCount val="22"/>
                <c:pt idx="0">
                  <c:v>36263</c:v>
                </c:pt>
                <c:pt idx="1">
                  <c:v>39482</c:v>
                </c:pt>
                <c:pt idx="2">
                  <c:v>5059</c:v>
                </c:pt>
                <c:pt idx="3">
                  <c:v>92482</c:v>
                </c:pt>
                <c:pt idx="4">
                  <c:v>293606</c:v>
                </c:pt>
                <c:pt idx="5">
                  <c:v>112585</c:v>
                </c:pt>
                <c:pt idx="6">
                  <c:v>1176</c:v>
                </c:pt>
                <c:pt idx="7">
                  <c:v>64379</c:v>
                </c:pt>
                <c:pt idx="8">
                  <c:v>3882</c:v>
                </c:pt>
                <c:pt idx="9">
                  <c:v>2827</c:v>
                </c:pt>
                <c:pt idx="10">
                  <c:v>20887</c:v>
                </c:pt>
                <c:pt idx="11">
                  <c:v>77058</c:v>
                </c:pt>
                <c:pt idx="12">
                  <c:v>274289</c:v>
                </c:pt>
                <c:pt idx="13">
                  <c:v>109597</c:v>
                </c:pt>
                <c:pt idx="14">
                  <c:v>268934</c:v>
                </c:pt>
                <c:pt idx="15">
                  <c:v>3196</c:v>
                </c:pt>
                <c:pt idx="16">
                  <c:v>11424</c:v>
                </c:pt>
                <c:pt idx="17">
                  <c:v>674</c:v>
                </c:pt>
                <c:pt idx="18">
                  <c:v>1455</c:v>
                </c:pt>
                <c:pt idx="19">
                  <c:v>59177</c:v>
                </c:pt>
                <c:pt idx="20">
                  <c:v>10621</c:v>
                </c:pt>
                <c:pt idx="21">
                  <c:v>1691</c:v>
                </c:pt>
              </c:numCache>
            </c:numRef>
          </c:xVal>
          <c:yVal>
            <c:numRef>
              <c:f>Sheet5!$N$2:$N$23</c:f>
              <c:numCache>
                <c:formatCode>General</c:formatCode>
                <c:ptCount val="22"/>
                <c:pt idx="0">
                  <c:v>1269</c:v>
                </c:pt>
                <c:pt idx="1">
                  <c:v>141</c:v>
                </c:pt>
                <c:pt idx="2">
                  <c:v>58</c:v>
                </c:pt>
                <c:pt idx="3">
                  <c:v>4652</c:v>
                </c:pt>
                <c:pt idx="4">
                  <c:v>15912</c:v>
                </c:pt>
                <c:pt idx="5">
                  <c:v>4458</c:v>
                </c:pt>
                <c:pt idx="6">
                  <c:v>11</c:v>
                </c:pt>
                <c:pt idx="7">
                  <c:v>438</c:v>
                </c:pt>
                <c:pt idx="8">
                  <c:v>51</c:v>
                </c:pt>
                <c:pt idx="9">
                  <c:v>64</c:v>
                </c:pt>
                <c:pt idx="10">
                  <c:v>316</c:v>
                </c:pt>
                <c:pt idx="11">
                  <c:v>393</c:v>
                </c:pt>
                <c:pt idx="12">
                  <c:v>5842</c:v>
                </c:pt>
                <c:pt idx="13">
                  <c:v>165</c:v>
                </c:pt>
                <c:pt idx="14">
                  <c:v>2760</c:v>
                </c:pt>
                <c:pt idx="15">
                  <c:v>93</c:v>
                </c:pt>
                <c:pt idx="16">
                  <c:v>720</c:v>
                </c:pt>
                <c:pt idx="17">
                  <c:v>40</c:v>
                </c:pt>
                <c:pt idx="18">
                  <c:v>50</c:v>
                </c:pt>
                <c:pt idx="19">
                  <c:v>345</c:v>
                </c:pt>
                <c:pt idx="20">
                  <c:v>78</c:v>
                </c:pt>
                <c:pt idx="21">
                  <c:v>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AB-4327-B16D-4F58121904C4}"/>
            </c:ext>
          </c:extLst>
        </c:ser>
        <c:ser>
          <c:idx val="3"/>
          <c:order val="3"/>
          <c:tx>
            <c:strRef>
              <c:f>Sheet5!$Q$1</c:f>
              <c:strCache>
                <c:ptCount val="1"/>
                <c:pt idx="0">
                  <c:v>Europe Deaths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Sheet5!$P$2:$P$57</c:f>
              <c:numCache>
                <c:formatCode>General</c:formatCode>
                <c:ptCount val="56"/>
                <c:pt idx="0">
                  <c:v>4880</c:v>
                </c:pt>
                <c:pt idx="1">
                  <c:v>907</c:v>
                </c:pt>
                <c:pt idx="2">
                  <c:v>37390</c:v>
                </c:pt>
                <c:pt idx="3">
                  <c:v>20558</c:v>
                </c:pt>
                <c:pt idx="4">
                  <c:v>30446</c:v>
                </c:pt>
                <c:pt idx="5">
                  <c:v>67251</c:v>
                </c:pt>
                <c:pt idx="6">
                  <c:v>66428</c:v>
                </c:pt>
                <c:pt idx="7">
                  <c:v>10498</c:v>
                </c:pt>
                <c:pt idx="8">
                  <c:v>10621</c:v>
                </c:pt>
                <c:pt idx="9">
                  <c:v>4881</c:v>
                </c:pt>
                <c:pt idx="10">
                  <c:v>1060</c:v>
                </c:pt>
                <c:pt idx="11">
                  <c:v>15516</c:v>
                </c:pt>
                <c:pt idx="12">
                  <c:v>13761</c:v>
                </c:pt>
                <c:pt idx="13">
                  <c:v>2034</c:v>
                </c:pt>
                <c:pt idx="14">
                  <c:v>7398</c:v>
                </c:pt>
                <c:pt idx="15">
                  <c:v>220352</c:v>
                </c:pt>
                <c:pt idx="16">
                  <c:v>1137</c:v>
                </c:pt>
                <c:pt idx="17">
                  <c:v>207112</c:v>
                </c:pt>
                <c:pt idx="18">
                  <c:v>4227</c:v>
                </c:pt>
                <c:pt idx="19">
                  <c:v>14</c:v>
                </c:pt>
                <c:pt idx="20">
                  <c:v>12</c:v>
                </c:pt>
                <c:pt idx="21">
                  <c:v>4448</c:v>
                </c:pt>
                <c:pt idx="22">
                  <c:v>1854</c:v>
                </c:pt>
                <c:pt idx="23">
                  <c:v>25892</c:v>
                </c:pt>
                <c:pt idx="24">
                  <c:v>63985</c:v>
                </c:pt>
                <c:pt idx="25">
                  <c:v>246286</c:v>
                </c:pt>
                <c:pt idx="26">
                  <c:v>84648</c:v>
                </c:pt>
                <c:pt idx="27">
                  <c:v>7413</c:v>
                </c:pt>
                <c:pt idx="28">
                  <c:v>33296</c:v>
                </c:pt>
                <c:pt idx="29">
                  <c:v>1219</c:v>
                </c:pt>
                <c:pt idx="30">
                  <c:v>86</c:v>
                </c:pt>
                <c:pt idx="31">
                  <c:v>2019</c:v>
                </c:pt>
                <c:pt idx="32">
                  <c:v>6321</c:v>
                </c:pt>
                <c:pt idx="33">
                  <c:v>701</c:v>
                </c:pt>
                <c:pt idx="34">
                  <c:v>23154</c:v>
                </c:pt>
                <c:pt idx="35">
                  <c:v>116</c:v>
                </c:pt>
                <c:pt idx="36">
                  <c:v>2893</c:v>
                </c:pt>
                <c:pt idx="37">
                  <c:v>53413</c:v>
                </c:pt>
                <c:pt idx="38">
                  <c:v>10213</c:v>
                </c:pt>
                <c:pt idx="39">
                  <c:v>9132</c:v>
                </c:pt>
                <c:pt idx="40">
                  <c:v>43402</c:v>
                </c:pt>
                <c:pt idx="41">
                  <c:v>50299</c:v>
                </c:pt>
                <c:pt idx="42">
                  <c:v>45902</c:v>
                </c:pt>
                <c:pt idx="43">
                  <c:v>816680</c:v>
                </c:pt>
                <c:pt idx="44">
                  <c:v>699</c:v>
                </c:pt>
                <c:pt idx="45">
                  <c:v>24141</c:v>
                </c:pt>
                <c:pt idx="46">
                  <c:v>2181</c:v>
                </c:pt>
                <c:pt idx="47">
                  <c:v>2087</c:v>
                </c:pt>
                <c:pt idx="48">
                  <c:v>272421</c:v>
                </c:pt>
                <c:pt idx="49">
                  <c:v>79395</c:v>
                </c:pt>
                <c:pt idx="50">
                  <c:v>34477</c:v>
                </c:pt>
                <c:pt idx="51">
                  <c:v>7235</c:v>
                </c:pt>
                <c:pt idx="52">
                  <c:v>227019</c:v>
                </c:pt>
                <c:pt idx="53">
                  <c:v>67096</c:v>
                </c:pt>
                <c:pt idx="54">
                  <c:v>301708</c:v>
                </c:pt>
                <c:pt idx="55">
                  <c:v>21209</c:v>
                </c:pt>
              </c:numCache>
            </c:numRef>
          </c:xVal>
          <c:yVal>
            <c:numRef>
              <c:f>Sheet5!$Q$2:$Q$57</c:f>
              <c:numCache>
                <c:formatCode>General</c:formatCode>
                <c:ptCount val="56"/>
                <c:pt idx="0">
                  <c:v>144</c:v>
                </c:pt>
                <c:pt idx="1">
                  <c:v>52</c:v>
                </c:pt>
                <c:pt idx="2">
                  <c:v>711</c:v>
                </c:pt>
                <c:pt idx="3">
                  <c:v>713</c:v>
                </c:pt>
                <c:pt idx="4">
                  <c:v>423</c:v>
                </c:pt>
                <c:pt idx="5">
                  <c:v>538</c:v>
                </c:pt>
                <c:pt idx="6">
                  <c:v>9822</c:v>
                </c:pt>
                <c:pt idx="7">
                  <c:v>294</c:v>
                </c:pt>
                <c:pt idx="8">
                  <c:v>347</c:v>
                </c:pt>
                <c:pt idx="9">
                  <c:v>139</c:v>
                </c:pt>
                <c:pt idx="10">
                  <c:v>19</c:v>
                </c:pt>
                <c:pt idx="11">
                  <c:v>373</c:v>
                </c:pt>
                <c:pt idx="12">
                  <c:v>613</c:v>
                </c:pt>
                <c:pt idx="13">
                  <c:v>69</c:v>
                </c:pt>
                <c:pt idx="14">
                  <c:v>329</c:v>
                </c:pt>
                <c:pt idx="15">
                  <c:v>30212</c:v>
                </c:pt>
                <c:pt idx="16">
                  <c:v>16</c:v>
                </c:pt>
                <c:pt idx="17">
                  <c:v>9125</c:v>
                </c:pt>
                <c:pt idx="18">
                  <c:v>202</c:v>
                </c:pt>
                <c:pt idx="19">
                  <c:v>0</c:v>
                </c:pt>
                <c:pt idx="20">
                  <c:v>0</c:v>
                </c:pt>
                <c:pt idx="21">
                  <c:v>596</c:v>
                </c:pt>
                <c:pt idx="22">
                  <c:v>10</c:v>
                </c:pt>
                <c:pt idx="23">
                  <c:v>1764</c:v>
                </c:pt>
                <c:pt idx="24">
                  <c:v>474</c:v>
                </c:pt>
                <c:pt idx="25">
                  <c:v>35112</c:v>
                </c:pt>
                <c:pt idx="26">
                  <c:v>585</c:v>
                </c:pt>
                <c:pt idx="27">
                  <c:v>185</c:v>
                </c:pt>
                <c:pt idx="28">
                  <c:v>1301</c:v>
                </c:pt>
                <c:pt idx="29">
                  <c:v>31</c:v>
                </c:pt>
                <c:pt idx="30">
                  <c:v>1</c:v>
                </c:pt>
                <c:pt idx="31">
                  <c:v>80</c:v>
                </c:pt>
                <c:pt idx="32">
                  <c:v>112</c:v>
                </c:pt>
                <c:pt idx="33">
                  <c:v>9</c:v>
                </c:pt>
                <c:pt idx="34">
                  <c:v>748</c:v>
                </c:pt>
                <c:pt idx="35">
                  <c:v>4</c:v>
                </c:pt>
                <c:pt idx="36">
                  <c:v>45</c:v>
                </c:pt>
                <c:pt idx="37">
                  <c:v>6160</c:v>
                </c:pt>
                <c:pt idx="38">
                  <c:v>466</c:v>
                </c:pt>
                <c:pt idx="39">
                  <c:v>255</c:v>
                </c:pt>
                <c:pt idx="40">
                  <c:v>1676</c:v>
                </c:pt>
                <c:pt idx="41">
                  <c:v>1719</c:v>
                </c:pt>
                <c:pt idx="42">
                  <c:v>2206</c:v>
                </c:pt>
                <c:pt idx="43">
                  <c:v>13334</c:v>
                </c:pt>
                <c:pt idx="44">
                  <c:v>42</c:v>
                </c:pt>
                <c:pt idx="45">
                  <c:v>543</c:v>
                </c:pt>
                <c:pt idx="46">
                  <c:v>28</c:v>
                </c:pt>
                <c:pt idx="47">
                  <c:v>116</c:v>
                </c:pt>
                <c:pt idx="48">
                  <c:v>28432</c:v>
                </c:pt>
                <c:pt idx="49">
                  <c:v>5700</c:v>
                </c:pt>
                <c:pt idx="50">
                  <c:v>1978</c:v>
                </c:pt>
                <c:pt idx="51">
                  <c:v>60</c:v>
                </c:pt>
                <c:pt idx="52">
                  <c:v>5630</c:v>
                </c:pt>
                <c:pt idx="53">
                  <c:v>1636</c:v>
                </c:pt>
                <c:pt idx="54">
                  <c:v>45844</c:v>
                </c:pt>
                <c:pt idx="55">
                  <c:v>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AB-4327-B16D-4F58121904C4}"/>
            </c:ext>
          </c:extLst>
        </c:ser>
        <c:ser>
          <c:idx val="4"/>
          <c:order val="4"/>
          <c:tx>
            <c:strRef>
              <c:f>Sheet5!$T$1</c:f>
              <c:strCache>
                <c:ptCount val="1"/>
                <c:pt idx="0">
                  <c:v>South-East Asia Deaths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Sheet5!$S$2:$S$11</c:f>
              <c:numCache>
                <c:formatCode>General</c:formatCode>
                <c:ptCount val="10"/>
                <c:pt idx="0">
                  <c:v>226225</c:v>
                </c:pt>
                <c:pt idx="1">
                  <c:v>99</c:v>
                </c:pt>
                <c:pt idx="2">
                  <c:v>350</c:v>
                </c:pt>
                <c:pt idx="3">
                  <c:v>1480073</c:v>
                </c:pt>
                <c:pt idx="4">
                  <c:v>100303</c:v>
                </c:pt>
                <c:pt idx="5">
                  <c:v>3369</c:v>
                </c:pt>
                <c:pt idx="6">
                  <c:v>18752</c:v>
                </c:pt>
                <c:pt idx="7">
                  <c:v>2805</c:v>
                </c:pt>
                <c:pt idx="8">
                  <c:v>3297</c:v>
                </c:pt>
                <c:pt idx="9">
                  <c:v>24</c:v>
                </c:pt>
              </c:numCache>
            </c:numRef>
          </c:xVal>
          <c:yVal>
            <c:numRef>
              <c:f>Sheet5!$T$2:$T$11</c:f>
              <c:numCache>
                <c:formatCode>General</c:formatCode>
                <c:ptCount val="10"/>
                <c:pt idx="0">
                  <c:v>2965</c:v>
                </c:pt>
                <c:pt idx="1">
                  <c:v>0</c:v>
                </c:pt>
                <c:pt idx="2">
                  <c:v>6</c:v>
                </c:pt>
                <c:pt idx="3">
                  <c:v>33408</c:v>
                </c:pt>
                <c:pt idx="4">
                  <c:v>4838</c:v>
                </c:pt>
                <c:pt idx="5">
                  <c:v>15</c:v>
                </c:pt>
                <c:pt idx="6">
                  <c:v>48</c:v>
                </c:pt>
                <c:pt idx="7">
                  <c:v>11</c:v>
                </c:pt>
                <c:pt idx="8">
                  <c:v>58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AB-4327-B16D-4F58121904C4}"/>
            </c:ext>
          </c:extLst>
        </c:ser>
        <c:ser>
          <c:idx val="5"/>
          <c:order val="5"/>
          <c:tx>
            <c:strRef>
              <c:f>Sheet5!$W$1</c:f>
              <c:strCache>
                <c:ptCount val="1"/>
                <c:pt idx="0">
                  <c:v>Western Pacific Deaths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Sheet5!$V$2:$V$17</c:f>
              <c:numCache>
                <c:formatCode>General</c:formatCode>
                <c:ptCount val="16"/>
                <c:pt idx="0">
                  <c:v>15303</c:v>
                </c:pt>
                <c:pt idx="1">
                  <c:v>141</c:v>
                </c:pt>
                <c:pt idx="2">
                  <c:v>226</c:v>
                </c:pt>
                <c:pt idx="3">
                  <c:v>86783</c:v>
                </c:pt>
                <c:pt idx="4">
                  <c:v>27</c:v>
                </c:pt>
                <c:pt idx="5">
                  <c:v>31142</c:v>
                </c:pt>
                <c:pt idx="6">
                  <c:v>20</c:v>
                </c:pt>
                <c:pt idx="7">
                  <c:v>8904</c:v>
                </c:pt>
                <c:pt idx="8">
                  <c:v>289</c:v>
                </c:pt>
                <c:pt idx="9">
                  <c:v>1557</c:v>
                </c:pt>
                <c:pt idx="10">
                  <c:v>62</c:v>
                </c:pt>
                <c:pt idx="11">
                  <c:v>82040</c:v>
                </c:pt>
                <c:pt idx="12">
                  <c:v>50838</c:v>
                </c:pt>
                <c:pt idx="13">
                  <c:v>14203</c:v>
                </c:pt>
                <c:pt idx="14">
                  <c:v>462</c:v>
                </c:pt>
                <c:pt idx="15">
                  <c:v>431</c:v>
                </c:pt>
              </c:numCache>
            </c:numRef>
          </c:xVal>
          <c:yVal>
            <c:numRef>
              <c:f>Sheet5!$W$2:$W$17</c:f>
              <c:numCache>
                <c:formatCode>General</c:formatCode>
                <c:ptCount val="16"/>
                <c:pt idx="0">
                  <c:v>167</c:v>
                </c:pt>
                <c:pt idx="1">
                  <c:v>3</c:v>
                </c:pt>
                <c:pt idx="2">
                  <c:v>0</c:v>
                </c:pt>
                <c:pt idx="3">
                  <c:v>4656</c:v>
                </c:pt>
                <c:pt idx="4">
                  <c:v>0</c:v>
                </c:pt>
                <c:pt idx="5">
                  <c:v>998</c:v>
                </c:pt>
                <c:pt idx="6">
                  <c:v>0</c:v>
                </c:pt>
                <c:pt idx="7">
                  <c:v>124</c:v>
                </c:pt>
                <c:pt idx="8">
                  <c:v>0</c:v>
                </c:pt>
                <c:pt idx="9">
                  <c:v>22</c:v>
                </c:pt>
                <c:pt idx="10">
                  <c:v>0</c:v>
                </c:pt>
                <c:pt idx="11">
                  <c:v>1945</c:v>
                </c:pt>
                <c:pt idx="12">
                  <c:v>27</c:v>
                </c:pt>
                <c:pt idx="13">
                  <c:v>300</c:v>
                </c:pt>
                <c:pt idx="14">
                  <c:v>7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AB-4327-B16D-4F5812190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02320"/>
        <c:axId val="594835504"/>
      </c:scatterChart>
      <c:valAx>
        <c:axId val="10480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Confirmed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835504"/>
        <c:crosses val="autoZero"/>
        <c:crossBetween val="midCat"/>
      </c:valAx>
      <c:valAx>
        <c:axId val="5948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Deaths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02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Relationship Between Confirmed Cases and Recoveries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Africa Recovered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Sheet6!$A$2:$A$49</c:f>
              <c:numCache>
                <c:formatCode>General</c:formatCode>
                <c:ptCount val="48"/>
                <c:pt idx="0">
                  <c:v>452529</c:v>
                </c:pt>
                <c:pt idx="1">
                  <c:v>41180</c:v>
                </c:pt>
                <c:pt idx="2">
                  <c:v>33624</c:v>
                </c:pt>
                <c:pt idx="3">
                  <c:v>27973</c:v>
                </c:pt>
                <c:pt idx="4">
                  <c:v>17975</c:v>
                </c:pt>
                <c:pt idx="5">
                  <c:v>17110</c:v>
                </c:pt>
                <c:pt idx="6">
                  <c:v>15655</c:v>
                </c:pt>
                <c:pt idx="7">
                  <c:v>14547</c:v>
                </c:pt>
                <c:pt idx="8">
                  <c:v>9764</c:v>
                </c:pt>
                <c:pt idx="9">
                  <c:v>9690</c:v>
                </c:pt>
                <c:pt idx="10">
                  <c:v>8844</c:v>
                </c:pt>
                <c:pt idx="11">
                  <c:v>7189</c:v>
                </c:pt>
                <c:pt idx="12">
                  <c:v>7055</c:v>
                </c:pt>
                <c:pt idx="13">
                  <c:v>6208</c:v>
                </c:pt>
                <c:pt idx="14">
                  <c:v>4599</c:v>
                </c:pt>
                <c:pt idx="15">
                  <c:v>4552</c:v>
                </c:pt>
                <c:pt idx="16">
                  <c:v>3664</c:v>
                </c:pt>
                <c:pt idx="17">
                  <c:v>3200</c:v>
                </c:pt>
                <c:pt idx="18">
                  <c:v>3071</c:v>
                </c:pt>
                <c:pt idx="19">
                  <c:v>2704</c:v>
                </c:pt>
                <c:pt idx="20">
                  <c:v>2513</c:v>
                </c:pt>
                <c:pt idx="21">
                  <c:v>2328</c:v>
                </c:pt>
                <c:pt idx="22">
                  <c:v>2316</c:v>
                </c:pt>
                <c:pt idx="23">
                  <c:v>2305</c:v>
                </c:pt>
                <c:pt idx="24">
                  <c:v>1954</c:v>
                </c:pt>
                <c:pt idx="25">
                  <c:v>1879</c:v>
                </c:pt>
                <c:pt idx="26">
                  <c:v>1843</c:v>
                </c:pt>
                <c:pt idx="27">
                  <c:v>1783</c:v>
                </c:pt>
                <c:pt idx="28">
                  <c:v>1770</c:v>
                </c:pt>
                <c:pt idx="29">
                  <c:v>1701</c:v>
                </c:pt>
                <c:pt idx="30">
                  <c:v>1167</c:v>
                </c:pt>
                <c:pt idx="31">
                  <c:v>1132</c:v>
                </c:pt>
                <c:pt idx="32">
                  <c:v>1128</c:v>
                </c:pt>
                <c:pt idx="33">
                  <c:v>1100</c:v>
                </c:pt>
                <c:pt idx="34">
                  <c:v>950</c:v>
                </c:pt>
                <c:pt idx="35">
                  <c:v>922</c:v>
                </c:pt>
                <c:pt idx="36">
                  <c:v>874</c:v>
                </c:pt>
                <c:pt idx="37">
                  <c:v>865</c:v>
                </c:pt>
                <c:pt idx="38">
                  <c:v>739</c:v>
                </c:pt>
                <c:pt idx="39">
                  <c:v>509</c:v>
                </c:pt>
                <c:pt idx="40">
                  <c:v>505</c:v>
                </c:pt>
                <c:pt idx="41">
                  <c:v>378</c:v>
                </c:pt>
                <c:pt idx="42">
                  <c:v>354</c:v>
                </c:pt>
                <c:pt idx="43">
                  <c:v>344</c:v>
                </c:pt>
                <c:pt idx="44">
                  <c:v>326</c:v>
                </c:pt>
                <c:pt idx="45">
                  <c:v>265</c:v>
                </c:pt>
                <c:pt idx="46">
                  <c:v>114</c:v>
                </c:pt>
                <c:pt idx="47">
                  <c:v>10</c:v>
                </c:pt>
              </c:numCache>
            </c:numRef>
          </c:xVal>
          <c:yVal>
            <c:numRef>
              <c:f>Sheet6!$B$2:$B$49</c:f>
              <c:numCache>
                <c:formatCode>General</c:formatCode>
                <c:ptCount val="48"/>
                <c:pt idx="0">
                  <c:v>274925</c:v>
                </c:pt>
                <c:pt idx="1">
                  <c:v>18203</c:v>
                </c:pt>
                <c:pt idx="2">
                  <c:v>29801</c:v>
                </c:pt>
                <c:pt idx="3">
                  <c:v>18837</c:v>
                </c:pt>
                <c:pt idx="4">
                  <c:v>7833</c:v>
                </c:pt>
                <c:pt idx="5">
                  <c:v>14539</c:v>
                </c:pt>
                <c:pt idx="6">
                  <c:v>10361</c:v>
                </c:pt>
                <c:pt idx="7">
                  <c:v>6386</c:v>
                </c:pt>
                <c:pt idx="8">
                  <c:v>6477</c:v>
                </c:pt>
                <c:pt idx="9">
                  <c:v>6260</c:v>
                </c:pt>
                <c:pt idx="10">
                  <c:v>5700</c:v>
                </c:pt>
                <c:pt idx="11">
                  <c:v>4682</c:v>
                </c:pt>
                <c:pt idx="12">
                  <c:v>6257</c:v>
                </c:pt>
                <c:pt idx="13">
                  <c:v>4653</c:v>
                </c:pt>
                <c:pt idx="14">
                  <c:v>1546</c:v>
                </c:pt>
                <c:pt idx="15">
                  <c:v>2815</c:v>
                </c:pt>
                <c:pt idx="16">
                  <c:v>1645</c:v>
                </c:pt>
                <c:pt idx="17">
                  <c:v>829</c:v>
                </c:pt>
                <c:pt idx="18">
                  <c:v>842</c:v>
                </c:pt>
                <c:pt idx="19">
                  <c:v>542</c:v>
                </c:pt>
                <c:pt idx="20">
                  <c:v>1913</c:v>
                </c:pt>
                <c:pt idx="21">
                  <c:v>1550</c:v>
                </c:pt>
                <c:pt idx="22">
                  <c:v>1025</c:v>
                </c:pt>
                <c:pt idx="23">
                  <c:v>1175</c:v>
                </c:pt>
                <c:pt idx="24">
                  <c:v>803</c:v>
                </c:pt>
                <c:pt idx="25">
                  <c:v>975</c:v>
                </c:pt>
                <c:pt idx="26">
                  <c:v>101</c:v>
                </c:pt>
                <c:pt idx="27">
                  <c:v>1317</c:v>
                </c:pt>
                <c:pt idx="28">
                  <c:v>1036</c:v>
                </c:pt>
                <c:pt idx="29">
                  <c:v>0</c:v>
                </c:pt>
                <c:pt idx="30">
                  <c:v>646</c:v>
                </c:pt>
                <c:pt idx="31">
                  <c:v>1027</c:v>
                </c:pt>
                <c:pt idx="32">
                  <c:v>986</c:v>
                </c:pt>
                <c:pt idx="33">
                  <c:v>926</c:v>
                </c:pt>
                <c:pt idx="34">
                  <c:v>242</c:v>
                </c:pt>
                <c:pt idx="35">
                  <c:v>810</c:v>
                </c:pt>
                <c:pt idx="36">
                  <c:v>607</c:v>
                </c:pt>
                <c:pt idx="37">
                  <c:v>734</c:v>
                </c:pt>
                <c:pt idx="38">
                  <c:v>63</c:v>
                </c:pt>
                <c:pt idx="39">
                  <c:v>183</c:v>
                </c:pt>
                <c:pt idx="40">
                  <c:v>128</c:v>
                </c:pt>
                <c:pt idx="41">
                  <c:v>301</c:v>
                </c:pt>
                <c:pt idx="42">
                  <c:v>328</c:v>
                </c:pt>
                <c:pt idx="43">
                  <c:v>332</c:v>
                </c:pt>
                <c:pt idx="44">
                  <c:v>66</c:v>
                </c:pt>
                <c:pt idx="45">
                  <c:v>191</c:v>
                </c:pt>
                <c:pt idx="46">
                  <c:v>39</c:v>
                </c:pt>
                <c:pt idx="4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8-4AD2-AE05-591D99D30E12}"/>
            </c:ext>
          </c:extLst>
        </c:ser>
        <c:ser>
          <c:idx val="1"/>
          <c:order val="1"/>
          <c:tx>
            <c:strRef>
              <c:f>Sheet6!$E$1</c:f>
              <c:strCache>
                <c:ptCount val="1"/>
                <c:pt idx="0">
                  <c:v>America Recovered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Sheet6!$D$2:$D$36</c:f>
              <c:numCache>
                <c:formatCode>General</c:formatCode>
                <c:ptCount val="35"/>
                <c:pt idx="0">
                  <c:v>4290259</c:v>
                </c:pt>
                <c:pt idx="1">
                  <c:v>2442375</c:v>
                </c:pt>
                <c:pt idx="2">
                  <c:v>395489</c:v>
                </c:pt>
                <c:pt idx="3">
                  <c:v>389717</c:v>
                </c:pt>
                <c:pt idx="4">
                  <c:v>347923</c:v>
                </c:pt>
                <c:pt idx="5">
                  <c:v>257101</c:v>
                </c:pt>
                <c:pt idx="6">
                  <c:v>167416</c:v>
                </c:pt>
                <c:pt idx="7">
                  <c:v>116458</c:v>
                </c:pt>
                <c:pt idx="8">
                  <c:v>81161</c:v>
                </c:pt>
                <c:pt idx="9">
                  <c:v>71181</c:v>
                </c:pt>
                <c:pt idx="10">
                  <c:v>64156</c:v>
                </c:pt>
                <c:pt idx="11">
                  <c:v>61442</c:v>
                </c:pt>
                <c:pt idx="12">
                  <c:v>45309</c:v>
                </c:pt>
                <c:pt idx="13">
                  <c:v>39741</c:v>
                </c:pt>
                <c:pt idx="14">
                  <c:v>15988</c:v>
                </c:pt>
                <c:pt idx="15">
                  <c:v>15841</c:v>
                </c:pt>
                <c:pt idx="16">
                  <c:v>15035</c:v>
                </c:pt>
                <c:pt idx="17">
                  <c:v>7340</c:v>
                </c:pt>
                <c:pt idx="18">
                  <c:v>4548</c:v>
                </c:pt>
                <c:pt idx="19">
                  <c:v>3439</c:v>
                </c:pt>
                <c:pt idx="20">
                  <c:v>2532</c:v>
                </c:pt>
                <c:pt idx="21">
                  <c:v>1483</c:v>
                </c:pt>
                <c:pt idx="22">
                  <c:v>1202</c:v>
                </c:pt>
                <c:pt idx="23">
                  <c:v>853</c:v>
                </c:pt>
                <c:pt idx="24">
                  <c:v>389</c:v>
                </c:pt>
                <c:pt idx="25">
                  <c:v>382</c:v>
                </c:pt>
                <c:pt idx="26">
                  <c:v>148</c:v>
                </c:pt>
                <c:pt idx="27">
                  <c:v>110</c:v>
                </c:pt>
                <c:pt idx="28">
                  <c:v>86</c:v>
                </c:pt>
                <c:pt idx="29">
                  <c:v>52</c:v>
                </c:pt>
                <c:pt idx="30">
                  <c:v>48</c:v>
                </c:pt>
                <c:pt idx="31">
                  <c:v>24</c:v>
                </c:pt>
                <c:pt idx="32">
                  <c:v>23</c:v>
                </c:pt>
                <c:pt idx="33">
                  <c:v>18</c:v>
                </c:pt>
                <c:pt idx="34">
                  <c:v>17</c:v>
                </c:pt>
              </c:numCache>
            </c:numRef>
          </c:xVal>
          <c:yVal>
            <c:numRef>
              <c:f>Sheet6!$E$2:$E$36</c:f>
              <c:numCache>
                <c:formatCode>General</c:formatCode>
                <c:ptCount val="35"/>
                <c:pt idx="0">
                  <c:v>1325804</c:v>
                </c:pt>
                <c:pt idx="1">
                  <c:v>1846641</c:v>
                </c:pt>
                <c:pt idx="2">
                  <c:v>303810</c:v>
                </c:pt>
                <c:pt idx="3">
                  <c:v>272547</c:v>
                </c:pt>
                <c:pt idx="4">
                  <c:v>319954</c:v>
                </c:pt>
                <c:pt idx="5">
                  <c:v>131161</c:v>
                </c:pt>
                <c:pt idx="6">
                  <c:v>72575</c:v>
                </c:pt>
                <c:pt idx="7">
                  <c:v>0</c:v>
                </c:pt>
                <c:pt idx="8">
                  <c:v>34896</c:v>
                </c:pt>
                <c:pt idx="9">
                  <c:v>21478</c:v>
                </c:pt>
                <c:pt idx="10">
                  <c:v>30204</c:v>
                </c:pt>
                <c:pt idx="11">
                  <c:v>35086</c:v>
                </c:pt>
                <c:pt idx="12">
                  <c:v>32455</c:v>
                </c:pt>
                <c:pt idx="13">
                  <c:v>5039</c:v>
                </c:pt>
                <c:pt idx="14">
                  <c:v>9959</c:v>
                </c:pt>
                <c:pt idx="15">
                  <c:v>3824</c:v>
                </c:pt>
                <c:pt idx="16">
                  <c:v>7778</c:v>
                </c:pt>
                <c:pt idx="17">
                  <c:v>4365</c:v>
                </c:pt>
                <c:pt idx="18">
                  <c:v>2905</c:v>
                </c:pt>
                <c:pt idx="19">
                  <c:v>2492</c:v>
                </c:pt>
                <c:pt idx="20">
                  <c:v>2351</c:v>
                </c:pt>
                <c:pt idx="21">
                  <c:v>925</c:v>
                </c:pt>
                <c:pt idx="22">
                  <c:v>951</c:v>
                </c:pt>
                <c:pt idx="23">
                  <c:v>714</c:v>
                </c:pt>
                <c:pt idx="24">
                  <c:v>181</c:v>
                </c:pt>
                <c:pt idx="25">
                  <c:v>91</c:v>
                </c:pt>
                <c:pt idx="26">
                  <c:v>128</c:v>
                </c:pt>
                <c:pt idx="27">
                  <c:v>94</c:v>
                </c:pt>
                <c:pt idx="28">
                  <c:v>65</c:v>
                </c:pt>
                <c:pt idx="29">
                  <c:v>39</c:v>
                </c:pt>
                <c:pt idx="30">
                  <c:v>26</c:v>
                </c:pt>
                <c:pt idx="31">
                  <c:v>22</c:v>
                </c:pt>
                <c:pt idx="32">
                  <c:v>23</c:v>
                </c:pt>
                <c:pt idx="33">
                  <c:v>18</c:v>
                </c:pt>
                <c:pt idx="34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48-4AD2-AE05-591D99D30E12}"/>
            </c:ext>
          </c:extLst>
        </c:ser>
        <c:ser>
          <c:idx val="2"/>
          <c:order val="2"/>
          <c:tx>
            <c:strRef>
              <c:f>Sheet6!$H$1</c:f>
              <c:strCache>
                <c:ptCount val="1"/>
                <c:pt idx="0">
                  <c:v>Eastern Mediterranean Recovered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Sheet6!$G$2:$G$23</c:f>
              <c:numCache>
                <c:formatCode>General</c:formatCode>
                <c:ptCount val="22"/>
                <c:pt idx="0">
                  <c:v>293606</c:v>
                </c:pt>
                <c:pt idx="1">
                  <c:v>274289</c:v>
                </c:pt>
                <c:pt idx="2">
                  <c:v>268934</c:v>
                </c:pt>
                <c:pt idx="3">
                  <c:v>112585</c:v>
                </c:pt>
                <c:pt idx="4">
                  <c:v>109597</c:v>
                </c:pt>
                <c:pt idx="5">
                  <c:v>92482</c:v>
                </c:pt>
                <c:pt idx="6">
                  <c:v>77058</c:v>
                </c:pt>
                <c:pt idx="7">
                  <c:v>64379</c:v>
                </c:pt>
                <c:pt idx="8">
                  <c:v>59177</c:v>
                </c:pt>
                <c:pt idx="9">
                  <c:v>39482</c:v>
                </c:pt>
                <c:pt idx="10">
                  <c:v>36263</c:v>
                </c:pt>
                <c:pt idx="11">
                  <c:v>20887</c:v>
                </c:pt>
                <c:pt idx="12">
                  <c:v>11424</c:v>
                </c:pt>
                <c:pt idx="13">
                  <c:v>10621</c:v>
                </c:pt>
                <c:pt idx="14">
                  <c:v>5059</c:v>
                </c:pt>
                <c:pt idx="15">
                  <c:v>3882</c:v>
                </c:pt>
                <c:pt idx="16">
                  <c:v>3196</c:v>
                </c:pt>
                <c:pt idx="17">
                  <c:v>2827</c:v>
                </c:pt>
                <c:pt idx="18">
                  <c:v>1691</c:v>
                </c:pt>
                <c:pt idx="19">
                  <c:v>1455</c:v>
                </c:pt>
                <c:pt idx="20">
                  <c:v>1176</c:v>
                </c:pt>
                <c:pt idx="21">
                  <c:v>674</c:v>
                </c:pt>
              </c:numCache>
            </c:numRef>
          </c:xVal>
          <c:yVal>
            <c:numRef>
              <c:f>Sheet6!$H$2:$H$23</c:f>
              <c:numCache>
                <c:formatCode>General</c:formatCode>
                <c:ptCount val="22"/>
                <c:pt idx="0">
                  <c:v>255144</c:v>
                </c:pt>
                <c:pt idx="1">
                  <c:v>241026</c:v>
                </c:pt>
                <c:pt idx="2">
                  <c:v>222936</c:v>
                </c:pt>
                <c:pt idx="3">
                  <c:v>77144</c:v>
                </c:pt>
                <c:pt idx="4">
                  <c:v>106328</c:v>
                </c:pt>
                <c:pt idx="5">
                  <c:v>34838</c:v>
                </c:pt>
                <c:pt idx="6">
                  <c:v>57028</c:v>
                </c:pt>
                <c:pt idx="7">
                  <c:v>55057</c:v>
                </c:pt>
                <c:pt idx="8">
                  <c:v>52510</c:v>
                </c:pt>
                <c:pt idx="9">
                  <c:v>36110</c:v>
                </c:pt>
                <c:pt idx="10">
                  <c:v>25198</c:v>
                </c:pt>
                <c:pt idx="11">
                  <c:v>16553</c:v>
                </c:pt>
                <c:pt idx="12">
                  <c:v>5939</c:v>
                </c:pt>
                <c:pt idx="13">
                  <c:v>3752</c:v>
                </c:pt>
                <c:pt idx="14">
                  <c:v>4977</c:v>
                </c:pt>
                <c:pt idx="15">
                  <c:v>1709</c:v>
                </c:pt>
                <c:pt idx="16">
                  <c:v>1543</c:v>
                </c:pt>
                <c:pt idx="17">
                  <c:v>577</c:v>
                </c:pt>
                <c:pt idx="18">
                  <c:v>833</c:v>
                </c:pt>
                <c:pt idx="19">
                  <c:v>1157</c:v>
                </c:pt>
                <c:pt idx="20">
                  <c:v>1041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48-4AD2-AE05-591D99D30E12}"/>
            </c:ext>
          </c:extLst>
        </c:ser>
        <c:ser>
          <c:idx val="3"/>
          <c:order val="3"/>
          <c:tx>
            <c:strRef>
              <c:f>Sheet6!$K$1</c:f>
              <c:strCache>
                <c:ptCount val="1"/>
                <c:pt idx="0">
                  <c:v>Europe Recovered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Sheet6!$J$2:$J$57</c:f>
              <c:numCache>
                <c:formatCode>General</c:formatCode>
                <c:ptCount val="56"/>
                <c:pt idx="0">
                  <c:v>816680</c:v>
                </c:pt>
                <c:pt idx="1">
                  <c:v>301708</c:v>
                </c:pt>
                <c:pt idx="2">
                  <c:v>272421</c:v>
                </c:pt>
                <c:pt idx="3">
                  <c:v>246286</c:v>
                </c:pt>
                <c:pt idx="4">
                  <c:v>227019</c:v>
                </c:pt>
                <c:pt idx="5">
                  <c:v>220352</c:v>
                </c:pt>
                <c:pt idx="6">
                  <c:v>207112</c:v>
                </c:pt>
                <c:pt idx="7">
                  <c:v>84648</c:v>
                </c:pt>
                <c:pt idx="8">
                  <c:v>79395</c:v>
                </c:pt>
                <c:pt idx="9">
                  <c:v>67251</c:v>
                </c:pt>
                <c:pt idx="10">
                  <c:v>67096</c:v>
                </c:pt>
                <c:pt idx="11">
                  <c:v>66428</c:v>
                </c:pt>
                <c:pt idx="12">
                  <c:v>63985</c:v>
                </c:pt>
                <c:pt idx="13">
                  <c:v>53413</c:v>
                </c:pt>
                <c:pt idx="14">
                  <c:v>50299</c:v>
                </c:pt>
                <c:pt idx="15">
                  <c:v>45902</c:v>
                </c:pt>
                <c:pt idx="16">
                  <c:v>43402</c:v>
                </c:pt>
                <c:pt idx="17">
                  <c:v>37390</c:v>
                </c:pt>
                <c:pt idx="18">
                  <c:v>34477</c:v>
                </c:pt>
                <c:pt idx="19">
                  <c:v>33296</c:v>
                </c:pt>
                <c:pt idx="20">
                  <c:v>30446</c:v>
                </c:pt>
                <c:pt idx="21">
                  <c:v>25892</c:v>
                </c:pt>
                <c:pt idx="22">
                  <c:v>24141</c:v>
                </c:pt>
                <c:pt idx="23">
                  <c:v>23154</c:v>
                </c:pt>
                <c:pt idx="24">
                  <c:v>21209</c:v>
                </c:pt>
                <c:pt idx="25">
                  <c:v>20558</c:v>
                </c:pt>
                <c:pt idx="26">
                  <c:v>15516</c:v>
                </c:pt>
                <c:pt idx="27">
                  <c:v>13761</c:v>
                </c:pt>
                <c:pt idx="28">
                  <c:v>10621</c:v>
                </c:pt>
                <c:pt idx="29">
                  <c:v>10498</c:v>
                </c:pt>
                <c:pt idx="30">
                  <c:v>10213</c:v>
                </c:pt>
                <c:pt idx="31">
                  <c:v>9132</c:v>
                </c:pt>
                <c:pt idx="32">
                  <c:v>7413</c:v>
                </c:pt>
                <c:pt idx="33">
                  <c:v>7398</c:v>
                </c:pt>
                <c:pt idx="34">
                  <c:v>7235</c:v>
                </c:pt>
                <c:pt idx="35">
                  <c:v>6321</c:v>
                </c:pt>
                <c:pt idx="36">
                  <c:v>4881</c:v>
                </c:pt>
                <c:pt idx="37">
                  <c:v>4880</c:v>
                </c:pt>
                <c:pt idx="38">
                  <c:v>4448</c:v>
                </c:pt>
                <c:pt idx="39">
                  <c:v>4227</c:v>
                </c:pt>
                <c:pt idx="40">
                  <c:v>2893</c:v>
                </c:pt>
                <c:pt idx="41">
                  <c:v>2181</c:v>
                </c:pt>
                <c:pt idx="42">
                  <c:v>2087</c:v>
                </c:pt>
                <c:pt idx="43">
                  <c:v>2034</c:v>
                </c:pt>
                <c:pt idx="44">
                  <c:v>2019</c:v>
                </c:pt>
                <c:pt idx="45">
                  <c:v>1854</c:v>
                </c:pt>
                <c:pt idx="46">
                  <c:v>1219</c:v>
                </c:pt>
                <c:pt idx="47">
                  <c:v>1137</c:v>
                </c:pt>
                <c:pt idx="48">
                  <c:v>1060</c:v>
                </c:pt>
                <c:pt idx="49">
                  <c:v>907</c:v>
                </c:pt>
                <c:pt idx="50">
                  <c:v>701</c:v>
                </c:pt>
                <c:pt idx="51">
                  <c:v>699</c:v>
                </c:pt>
                <c:pt idx="52">
                  <c:v>116</c:v>
                </c:pt>
                <c:pt idx="53">
                  <c:v>86</c:v>
                </c:pt>
                <c:pt idx="54">
                  <c:v>14</c:v>
                </c:pt>
                <c:pt idx="55">
                  <c:v>12</c:v>
                </c:pt>
              </c:numCache>
            </c:numRef>
          </c:xVal>
          <c:yVal>
            <c:numRef>
              <c:f>Sheet6!$K$2:$K$57</c:f>
              <c:numCache>
                <c:formatCode>General</c:formatCode>
                <c:ptCount val="56"/>
                <c:pt idx="0">
                  <c:v>602249</c:v>
                </c:pt>
                <c:pt idx="1">
                  <c:v>1437</c:v>
                </c:pt>
                <c:pt idx="2">
                  <c:v>150376</c:v>
                </c:pt>
                <c:pt idx="3">
                  <c:v>198593</c:v>
                </c:pt>
                <c:pt idx="4">
                  <c:v>210469</c:v>
                </c:pt>
                <c:pt idx="5">
                  <c:v>81212</c:v>
                </c:pt>
                <c:pt idx="6">
                  <c:v>190314</c:v>
                </c:pt>
                <c:pt idx="7">
                  <c:v>54404</c:v>
                </c:pt>
                <c:pt idx="8">
                  <c:v>0</c:v>
                </c:pt>
                <c:pt idx="9">
                  <c:v>60492</c:v>
                </c:pt>
                <c:pt idx="10">
                  <c:v>37202</c:v>
                </c:pt>
                <c:pt idx="11">
                  <c:v>17452</c:v>
                </c:pt>
                <c:pt idx="12">
                  <c:v>27133</c:v>
                </c:pt>
                <c:pt idx="13">
                  <c:v>189</c:v>
                </c:pt>
                <c:pt idx="14">
                  <c:v>35375</c:v>
                </c:pt>
                <c:pt idx="15">
                  <c:v>25794</c:v>
                </c:pt>
                <c:pt idx="16">
                  <c:v>32856</c:v>
                </c:pt>
                <c:pt idx="17">
                  <c:v>26665</c:v>
                </c:pt>
                <c:pt idx="18">
                  <c:v>30900</c:v>
                </c:pt>
                <c:pt idx="19">
                  <c:v>21205</c:v>
                </c:pt>
                <c:pt idx="20">
                  <c:v>23242</c:v>
                </c:pt>
                <c:pt idx="21">
                  <c:v>23364</c:v>
                </c:pt>
                <c:pt idx="22">
                  <c:v>0</c:v>
                </c:pt>
                <c:pt idx="23">
                  <c:v>16154</c:v>
                </c:pt>
                <c:pt idx="24">
                  <c:v>11674</c:v>
                </c:pt>
                <c:pt idx="25">
                  <c:v>18246</c:v>
                </c:pt>
                <c:pt idx="26">
                  <c:v>11428</c:v>
                </c:pt>
                <c:pt idx="27">
                  <c:v>12605</c:v>
                </c:pt>
                <c:pt idx="28">
                  <c:v>5585</c:v>
                </c:pt>
                <c:pt idx="29">
                  <c:v>4930</c:v>
                </c:pt>
                <c:pt idx="30">
                  <c:v>5564</c:v>
                </c:pt>
                <c:pt idx="31">
                  <c:v>8752</c:v>
                </c:pt>
                <c:pt idx="32">
                  <c:v>4027</c:v>
                </c:pt>
                <c:pt idx="33">
                  <c:v>6920</c:v>
                </c:pt>
                <c:pt idx="34">
                  <c:v>6028</c:v>
                </c:pt>
                <c:pt idx="35">
                  <c:v>4825</c:v>
                </c:pt>
                <c:pt idx="36">
                  <c:v>3936</c:v>
                </c:pt>
                <c:pt idx="37">
                  <c:v>2745</c:v>
                </c:pt>
                <c:pt idx="38">
                  <c:v>3329</c:v>
                </c:pt>
                <c:pt idx="39">
                  <c:v>1374</c:v>
                </c:pt>
                <c:pt idx="40">
                  <c:v>809</c:v>
                </c:pt>
                <c:pt idx="41">
                  <c:v>1616</c:v>
                </c:pt>
                <c:pt idx="42">
                  <c:v>1733</c:v>
                </c:pt>
                <c:pt idx="43">
                  <c:v>1923</c:v>
                </c:pt>
                <c:pt idx="44">
                  <c:v>1620</c:v>
                </c:pt>
                <c:pt idx="45">
                  <c:v>1823</c:v>
                </c:pt>
                <c:pt idx="46">
                  <c:v>1045</c:v>
                </c:pt>
                <c:pt idx="47">
                  <c:v>922</c:v>
                </c:pt>
                <c:pt idx="48">
                  <c:v>852</c:v>
                </c:pt>
                <c:pt idx="49">
                  <c:v>803</c:v>
                </c:pt>
                <c:pt idx="50">
                  <c:v>665</c:v>
                </c:pt>
                <c:pt idx="51">
                  <c:v>657</c:v>
                </c:pt>
                <c:pt idx="52">
                  <c:v>104</c:v>
                </c:pt>
                <c:pt idx="53">
                  <c:v>81</c:v>
                </c:pt>
                <c:pt idx="54">
                  <c:v>13</c:v>
                </c:pt>
                <c:pt idx="55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48-4AD2-AE05-591D99D30E12}"/>
            </c:ext>
          </c:extLst>
        </c:ser>
        <c:ser>
          <c:idx val="4"/>
          <c:order val="4"/>
          <c:tx>
            <c:strRef>
              <c:f>Sheet6!$N$1</c:f>
              <c:strCache>
                <c:ptCount val="1"/>
                <c:pt idx="0">
                  <c:v>South-East Asia Recovered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Sheet6!$M$2:$M$11</c:f>
              <c:numCache>
                <c:formatCode>General</c:formatCode>
                <c:ptCount val="10"/>
                <c:pt idx="0">
                  <c:v>1480073</c:v>
                </c:pt>
                <c:pt idx="1">
                  <c:v>226225</c:v>
                </c:pt>
                <c:pt idx="2">
                  <c:v>100303</c:v>
                </c:pt>
                <c:pt idx="3">
                  <c:v>18752</c:v>
                </c:pt>
                <c:pt idx="4">
                  <c:v>3369</c:v>
                </c:pt>
                <c:pt idx="5">
                  <c:v>3297</c:v>
                </c:pt>
                <c:pt idx="6">
                  <c:v>2805</c:v>
                </c:pt>
                <c:pt idx="7">
                  <c:v>350</c:v>
                </c:pt>
                <c:pt idx="8">
                  <c:v>99</c:v>
                </c:pt>
                <c:pt idx="9">
                  <c:v>24</c:v>
                </c:pt>
              </c:numCache>
            </c:numRef>
          </c:xVal>
          <c:yVal>
            <c:numRef>
              <c:f>Sheet6!$N$2:$N$11</c:f>
              <c:numCache>
                <c:formatCode>General</c:formatCode>
                <c:ptCount val="10"/>
                <c:pt idx="0">
                  <c:v>951166</c:v>
                </c:pt>
                <c:pt idx="1">
                  <c:v>125683</c:v>
                </c:pt>
                <c:pt idx="2">
                  <c:v>58173</c:v>
                </c:pt>
                <c:pt idx="3">
                  <c:v>13754</c:v>
                </c:pt>
                <c:pt idx="4">
                  <c:v>2547</c:v>
                </c:pt>
                <c:pt idx="5">
                  <c:v>3111</c:v>
                </c:pt>
                <c:pt idx="6">
                  <c:v>2121</c:v>
                </c:pt>
                <c:pt idx="7">
                  <c:v>292</c:v>
                </c:pt>
                <c:pt idx="8">
                  <c:v>86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48-4AD2-AE05-591D99D30E12}"/>
            </c:ext>
          </c:extLst>
        </c:ser>
        <c:ser>
          <c:idx val="5"/>
          <c:order val="5"/>
          <c:tx>
            <c:strRef>
              <c:f>Sheet6!$Q$1</c:f>
              <c:strCache>
                <c:ptCount val="1"/>
                <c:pt idx="0">
                  <c:v>Western Pacific Recovered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Sheet6!$P$2:$P$17</c:f>
              <c:numCache>
                <c:formatCode>General</c:formatCode>
                <c:ptCount val="16"/>
                <c:pt idx="0">
                  <c:v>86783</c:v>
                </c:pt>
                <c:pt idx="1">
                  <c:v>82040</c:v>
                </c:pt>
                <c:pt idx="2">
                  <c:v>50838</c:v>
                </c:pt>
                <c:pt idx="3">
                  <c:v>31142</c:v>
                </c:pt>
                <c:pt idx="4">
                  <c:v>15303</c:v>
                </c:pt>
                <c:pt idx="5">
                  <c:v>14203</c:v>
                </c:pt>
                <c:pt idx="6">
                  <c:v>8904</c:v>
                </c:pt>
                <c:pt idx="7">
                  <c:v>1557</c:v>
                </c:pt>
                <c:pt idx="8">
                  <c:v>462</c:v>
                </c:pt>
                <c:pt idx="9">
                  <c:v>431</c:v>
                </c:pt>
                <c:pt idx="10">
                  <c:v>289</c:v>
                </c:pt>
                <c:pt idx="11">
                  <c:v>226</c:v>
                </c:pt>
                <c:pt idx="12">
                  <c:v>141</c:v>
                </c:pt>
                <c:pt idx="13">
                  <c:v>62</c:v>
                </c:pt>
                <c:pt idx="14">
                  <c:v>27</c:v>
                </c:pt>
                <c:pt idx="15">
                  <c:v>20</c:v>
                </c:pt>
              </c:numCache>
            </c:numRef>
          </c:xVal>
          <c:yVal>
            <c:numRef>
              <c:f>Sheet6!$Q$2:$Q$17</c:f>
              <c:numCache>
                <c:formatCode>General</c:formatCode>
                <c:ptCount val="16"/>
                <c:pt idx="0">
                  <c:v>78869</c:v>
                </c:pt>
                <c:pt idx="1">
                  <c:v>26446</c:v>
                </c:pt>
                <c:pt idx="2">
                  <c:v>45692</c:v>
                </c:pt>
                <c:pt idx="3">
                  <c:v>21970</c:v>
                </c:pt>
                <c:pt idx="4">
                  <c:v>9311</c:v>
                </c:pt>
                <c:pt idx="5">
                  <c:v>13007</c:v>
                </c:pt>
                <c:pt idx="6">
                  <c:v>8601</c:v>
                </c:pt>
                <c:pt idx="7">
                  <c:v>1514</c:v>
                </c:pt>
                <c:pt idx="8">
                  <c:v>440</c:v>
                </c:pt>
                <c:pt idx="9">
                  <c:v>365</c:v>
                </c:pt>
                <c:pt idx="10">
                  <c:v>222</c:v>
                </c:pt>
                <c:pt idx="11">
                  <c:v>147</c:v>
                </c:pt>
                <c:pt idx="12">
                  <c:v>138</c:v>
                </c:pt>
                <c:pt idx="13">
                  <c:v>11</c:v>
                </c:pt>
                <c:pt idx="14">
                  <c:v>18</c:v>
                </c:pt>
                <c:pt idx="1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48-4AD2-AE05-591D99D30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989152"/>
        <c:axId val="559992752"/>
      </c:scatterChart>
      <c:valAx>
        <c:axId val="55998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Confirmed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992752"/>
        <c:crosses val="autoZero"/>
        <c:crossBetween val="midCat"/>
      </c:valAx>
      <c:valAx>
        <c:axId val="55999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Recovered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98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Relationship Between Confirmed Cases and Active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Sheet6!$T$1</c:f>
              <c:strCache>
                <c:ptCount val="1"/>
                <c:pt idx="0">
                  <c:v>Africa Active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Sheet6!$S$2:$S$49</c:f>
              <c:numCache>
                <c:formatCode>General</c:formatCode>
                <c:ptCount val="48"/>
                <c:pt idx="0">
                  <c:v>452529</c:v>
                </c:pt>
                <c:pt idx="1">
                  <c:v>41180</c:v>
                </c:pt>
                <c:pt idx="2">
                  <c:v>33624</c:v>
                </c:pt>
                <c:pt idx="3">
                  <c:v>27973</c:v>
                </c:pt>
                <c:pt idx="4">
                  <c:v>17975</c:v>
                </c:pt>
                <c:pt idx="5">
                  <c:v>17110</c:v>
                </c:pt>
                <c:pt idx="6">
                  <c:v>15655</c:v>
                </c:pt>
                <c:pt idx="7">
                  <c:v>14547</c:v>
                </c:pt>
                <c:pt idx="8">
                  <c:v>9764</c:v>
                </c:pt>
                <c:pt idx="9">
                  <c:v>9690</c:v>
                </c:pt>
                <c:pt idx="10">
                  <c:v>8844</c:v>
                </c:pt>
                <c:pt idx="11">
                  <c:v>7189</c:v>
                </c:pt>
                <c:pt idx="12">
                  <c:v>7055</c:v>
                </c:pt>
                <c:pt idx="13">
                  <c:v>6208</c:v>
                </c:pt>
                <c:pt idx="14">
                  <c:v>4599</c:v>
                </c:pt>
                <c:pt idx="15">
                  <c:v>4552</c:v>
                </c:pt>
                <c:pt idx="16">
                  <c:v>3664</c:v>
                </c:pt>
                <c:pt idx="17">
                  <c:v>3200</c:v>
                </c:pt>
                <c:pt idx="18">
                  <c:v>3071</c:v>
                </c:pt>
                <c:pt idx="19">
                  <c:v>2704</c:v>
                </c:pt>
                <c:pt idx="20">
                  <c:v>2513</c:v>
                </c:pt>
                <c:pt idx="21">
                  <c:v>2328</c:v>
                </c:pt>
                <c:pt idx="22">
                  <c:v>2316</c:v>
                </c:pt>
                <c:pt idx="23">
                  <c:v>2305</c:v>
                </c:pt>
                <c:pt idx="24">
                  <c:v>1954</c:v>
                </c:pt>
                <c:pt idx="25">
                  <c:v>1879</c:v>
                </c:pt>
                <c:pt idx="26">
                  <c:v>1843</c:v>
                </c:pt>
                <c:pt idx="27">
                  <c:v>1783</c:v>
                </c:pt>
                <c:pt idx="28">
                  <c:v>1770</c:v>
                </c:pt>
                <c:pt idx="29">
                  <c:v>1701</c:v>
                </c:pt>
                <c:pt idx="30">
                  <c:v>1167</c:v>
                </c:pt>
                <c:pt idx="31">
                  <c:v>1132</c:v>
                </c:pt>
                <c:pt idx="32">
                  <c:v>1128</c:v>
                </c:pt>
                <c:pt idx="33">
                  <c:v>1100</c:v>
                </c:pt>
                <c:pt idx="34">
                  <c:v>950</c:v>
                </c:pt>
                <c:pt idx="35">
                  <c:v>922</c:v>
                </c:pt>
                <c:pt idx="36">
                  <c:v>874</c:v>
                </c:pt>
                <c:pt idx="37">
                  <c:v>865</c:v>
                </c:pt>
                <c:pt idx="38">
                  <c:v>739</c:v>
                </c:pt>
                <c:pt idx="39">
                  <c:v>509</c:v>
                </c:pt>
                <c:pt idx="40">
                  <c:v>505</c:v>
                </c:pt>
                <c:pt idx="41">
                  <c:v>378</c:v>
                </c:pt>
                <c:pt idx="42">
                  <c:v>354</c:v>
                </c:pt>
                <c:pt idx="43">
                  <c:v>344</c:v>
                </c:pt>
                <c:pt idx="44">
                  <c:v>326</c:v>
                </c:pt>
                <c:pt idx="45">
                  <c:v>265</c:v>
                </c:pt>
                <c:pt idx="46">
                  <c:v>114</c:v>
                </c:pt>
                <c:pt idx="47">
                  <c:v>10</c:v>
                </c:pt>
              </c:numCache>
            </c:numRef>
          </c:xVal>
          <c:yVal>
            <c:numRef>
              <c:f>Sheet6!$T$2:$T$49</c:f>
              <c:numCache>
                <c:formatCode>General</c:formatCode>
                <c:ptCount val="48"/>
                <c:pt idx="0">
                  <c:v>170537</c:v>
                </c:pt>
                <c:pt idx="1">
                  <c:v>22117</c:v>
                </c:pt>
                <c:pt idx="2">
                  <c:v>3655</c:v>
                </c:pt>
                <c:pt idx="3">
                  <c:v>7973</c:v>
                </c:pt>
                <c:pt idx="4">
                  <c:v>9857</c:v>
                </c:pt>
                <c:pt idx="5">
                  <c:v>2180</c:v>
                </c:pt>
                <c:pt idx="6">
                  <c:v>5198</c:v>
                </c:pt>
                <c:pt idx="7">
                  <c:v>7933</c:v>
                </c:pt>
                <c:pt idx="8">
                  <c:v>3093</c:v>
                </c:pt>
                <c:pt idx="9">
                  <c:v>3339</c:v>
                </c:pt>
                <c:pt idx="10">
                  <c:v>2936</c:v>
                </c:pt>
                <c:pt idx="11">
                  <c:v>2458</c:v>
                </c:pt>
                <c:pt idx="12">
                  <c:v>753</c:v>
                </c:pt>
                <c:pt idx="13">
                  <c:v>1399</c:v>
                </c:pt>
                <c:pt idx="14">
                  <c:v>2994</c:v>
                </c:pt>
                <c:pt idx="15">
                  <c:v>1597</c:v>
                </c:pt>
                <c:pt idx="16">
                  <c:v>1920</c:v>
                </c:pt>
                <c:pt idx="17">
                  <c:v>2317</c:v>
                </c:pt>
                <c:pt idx="18">
                  <c:v>2178</c:v>
                </c:pt>
                <c:pt idx="19">
                  <c:v>2126</c:v>
                </c:pt>
                <c:pt idx="20">
                  <c:v>476</c:v>
                </c:pt>
                <c:pt idx="21">
                  <c:v>756</c:v>
                </c:pt>
                <c:pt idx="22">
                  <c:v>1257</c:v>
                </c:pt>
                <c:pt idx="23">
                  <c:v>1084</c:v>
                </c:pt>
                <c:pt idx="24">
                  <c:v>1125</c:v>
                </c:pt>
                <c:pt idx="25">
                  <c:v>899</c:v>
                </c:pt>
                <c:pt idx="26">
                  <c:v>1734</c:v>
                </c:pt>
                <c:pt idx="27">
                  <c:v>400</c:v>
                </c:pt>
                <c:pt idx="28">
                  <c:v>699</c:v>
                </c:pt>
                <c:pt idx="29">
                  <c:v>1690</c:v>
                </c:pt>
                <c:pt idx="30">
                  <c:v>449</c:v>
                </c:pt>
                <c:pt idx="31">
                  <c:v>36</c:v>
                </c:pt>
                <c:pt idx="32">
                  <c:v>140</c:v>
                </c:pt>
                <c:pt idx="33">
                  <c:v>121</c:v>
                </c:pt>
                <c:pt idx="34">
                  <c:v>667</c:v>
                </c:pt>
                <c:pt idx="35">
                  <c:v>37</c:v>
                </c:pt>
                <c:pt idx="36">
                  <c:v>249</c:v>
                </c:pt>
                <c:pt idx="37">
                  <c:v>117</c:v>
                </c:pt>
                <c:pt idx="38">
                  <c:v>674</c:v>
                </c:pt>
                <c:pt idx="39">
                  <c:v>305</c:v>
                </c:pt>
                <c:pt idx="40">
                  <c:v>365</c:v>
                </c:pt>
                <c:pt idx="41">
                  <c:v>76</c:v>
                </c:pt>
                <c:pt idx="42">
                  <c:v>19</c:v>
                </c:pt>
                <c:pt idx="43">
                  <c:v>2</c:v>
                </c:pt>
                <c:pt idx="44">
                  <c:v>252</c:v>
                </c:pt>
                <c:pt idx="45">
                  <c:v>74</c:v>
                </c:pt>
                <c:pt idx="46">
                  <c:v>75</c:v>
                </c:pt>
                <c:pt idx="4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4-42E8-97EB-EF5BCA8B5417}"/>
            </c:ext>
          </c:extLst>
        </c:ser>
        <c:ser>
          <c:idx val="1"/>
          <c:order val="1"/>
          <c:tx>
            <c:strRef>
              <c:f>Sheet6!$W$1</c:f>
              <c:strCache>
                <c:ptCount val="1"/>
                <c:pt idx="0">
                  <c:v>America  Active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Sheet6!$V$2:$V$36</c:f>
              <c:numCache>
                <c:formatCode>General</c:formatCode>
                <c:ptCount val="35"/>
                <c:pt idx="0">
                  <c:v>4290259</c:v>
                </c:pt>
                <c:pt idx="1">
                  <c:v>2442375</c:v>
                </c:pt>
                <c:pt idx="2">
                  <c:v>395489</c:v>
                </c:pt>
                <c:pt idx="3">
                  <c:v>389717</c:v>
                </c:pt>
                <c:pt idx="4">
                  <c:v>347923</c:v>
                </c:pt>
                <c:pt idx="5">
                  <c:v>257101</c:v>
                </c:pt>
                <c:pt idx="6">
                  <c:v>167416</c:v>
                </c:pt>
                <c:pt idx="7">
                  <c:v>116458</c:v>
                </c:pt>
                <c:pt idx="8">
                  <c:v>81161</c:v>
                </c:pt>
                <c:pt idx="9">
                  <c:v>71181</c:v>
                </c:pt>
                <c:pt idx="10">
                  <c:v>64156</c:v>
                </c:pt>
                <c:pt idx="11">
                  <c:v>61442</c:v>
                </c:pt>
                <c:pt idx="12">
                  <c:v>45309</c:v>
                </c:pt>
                <c:pt idx="13">
                  <c:v>39741</c:v>
                </c:pt>
                <c:pt idx="14">
                  <c:v>15988</c:v>
                </c:pt>
                <c:pt idx="15">
                  <c:v>15841</c:v>
                </c:pt>
                <c:pt idx="16">
                  <c:v>15035</c:v>
                </c:pt>
                <c:pt idx="17">
                  <c:v>7340</c:v>
                </c:pt>
                <c:pt idx="18">
                  <c:v>4548</c:v>
                </c:pt>
                <c:pt idx="19">
                  <c:v>3439</c:v>
                </c:pt>
                <c:pt idx="20">
                  <c:v>2532</c:v>
                </c:pt>
                <c:pt idx="21">
                  <c:v>1483</c:v>
                </c:pt>
                <c:pt idx="22">
                  <c:v>1202</c:v>
                </c:pt>
                <c:pt idx="23">
                  <c:v>853</c:v>
                </c:pt>
                <c:pt idx="24">
                  <c:v>389</c:v>
                </c:pt>
                <c:pt idx="25">
                  <c:v>382</c:v>
                </c:pt>
                <c:pt idx="26">
                  <c:v>148</c:v>
                </c:pt>
                <c:pt idx="27">
                  <c:v>110</c:v>
                </c:pt>
                <c:pt idx="28">
                  <c:v>86</c:v>
                </c:pt>
                <c:pt idx="29">
                  <c:v>52</c:v>
                </c:pt>
                <c:pt idx="30">
                  <c:v>48</c:v>
                </c:pt>
                <c:pt idx="31">
                  <c:v>24</c:v>
                </c:pt>
                <c:pt idx="32">
                  <c:v>23</c:v>
                </c:pt>
                <c:pt idx="33">
                  <c:v>18</c:v>
                </c:pt>
                <c:pt idx="34">
                  <c:v>17</c:v>
                </c:pt>
              </c:numCache>
            </c:numRef>
          </c:xVal>
          <c:yVal>
            <c:numRef>
              <c:f>Sheet6!$W$2:$W$36</c:f>
              <c:numCache>
                <c:formatCode>General</c:formatCode>
                <c:ptCount val="35"/>
                <c:pt idx="0">
                  <c:v>2816444</c:v>
                </c:pt>
                <c:pt idx="1">
                  <c:v>508116</c:v>
                </c:pt>
                <c:pt idx="2">
                  <c:v>47657</c:v>
                </c:pt>
                <c:pt idx="3">
                  <c:v>98752</c:v>
                </c:pt>
                <c:pt idx="4">
                  <c:v>18782</c:v>
                </c:pt>
                <c:pt idx="5">
                  <c:v>117163</c:v>
                </c:pt>
                <c:pt idx="6">
                  <c:v>91782</c:v>
                </c:pt>
                <c:pt idx="7">
                  <c:v>107514</c:v>
                </c:pt>
                <c:pt idx="8">
                  <c:v>40733</c:v>
                </c:pt>
                <c:pt idx="9">
                  <c:v>47056</c:v>
                </c:pt>
                <c:pt idx="10">
                  <c:v>32869</c:v>
                </c:pt>
                <c:pt idx="11">
                  <c:v>25034</c:v>
                </c:pt>
                <c:pt idx="12">
                  <c:v>11093</c:v>
                </c:pt>
                <c:pt idx="13">
                  <c:v>33536</c:v>
                </c:pt>
                <c:pt idx="14">
                  <c:v>5883</c:v>
                </c:pt>
                <c:pt idx="15">
                  <c:v>11902</c:v>
                </c:pt>
                <c:pt idx="16">
                  <c:v>6849</c:v>
                </c:pt>
                <c:pt idx="17">
                  <c:v>2817</c:v>
                </c:pt>
                <c:pt idx="18">
                  <c:v>1600</c:v>
                </c:pt>
                <c:pt idx="19">
                  <c:v>839</c:v>
                </c:pt>
                <c:pt idx="20">
                  <c:v>94</c:v>
                </c:pt>
                <c:pt idx="21">
                  <c:v>534</c:v>
                </c:pt>
                <c:pt idx="22">
                  <c:v>216</c:v>
                </c:pt>
                <c:pt idx="23">
                  <c:v>129</c:v>
                </c:pt>
                <c:pt idx="24">
                  <c:v>188</c:v>
                </c:pt>
                <c:pt idx="25">
                  <c:v>280</c:v>
                </c:pt>
                <c:pt idx="26">
                  <c:v>12</c:v>
                </c:pt>
                <c:pt idx="27">
                  <c:v>9</c:v>
                </c:pt>
                <c:pt idx="28">
                  <c:v>18</c:v>
                </c:pt>
                <c:pt idx="29">
                  <c:v>13</c:v>
                </c:pt>
                <c:pt idx="30">
                  <c:v>20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F4-42E8-97EB-EF5BCA8B5417}"/>
            </c:ext>
          </c:extLst>
        </c:ser>
        <c:ser>
          <c:idx val="2"/>
          <c:order val="2"/>
          <c:tx>
            <c:strRef>
              <c:f>Sheet6!$Z$1</c:f>
              <c:strCache>
                <c:ptCount val="1"/>
                <c:pt idx="0">
                  <c:v>Eastern Mediterranean  Active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Sheet6!$Y$2:$Y$23</c:f>
              <c:numCache>
                <c:formatCode>General</c:formatCode>
                <c:ptCount val="22"/>
                <c:pt idx="0">
                  <c:v>293606</c:v>
                </c:pt>
                <c:pt idx="1">
                  <c:v>274289</c:v>
                </c:pt>
                <c:pt idx="2">
                  <c:v>268934</c:v>
                </c:pt>
                <c:pt idx="3">
                  <c:v>112585</c:v>
                </c:pt>
                <c:pt idx="4">
                  <c:v>109597</c:v>
                </c:pt>
                <c:pt idx="5">
                  <c:v>92482</c:v>
                </c:pt>
                <c:pt idx="6">
                  <c:v>77058</c:v>
                </c:pt>
                <c:pt idx="7">
                  <c:v>64379</c:v>
                </c:pt>
                <c:pt idx="8">
                  <c:v>59177</c:v>
                </c:pt>
                <c:pt idx="9">
                  <c:v>39482</c:v>
                </c:pt>
                <c:pt idx="10">
                  <c:v>36263</c:v>
                </c:pt>
                <c:pt idx="11">
                  <c:v>20887</c:v>
                </c:pt>
                <c:pt idx="12">
                  <c:v>11424</c:v>
                </c:pt>
                <c:pt idx="13">
                  <c:v>10621</c:v>
                </c:pt>
                <c:pt idx="14">
                  <c:v>5059</c:v>
                </c:pt>
                <c:pt idx="15">
                  <c:v>3882</c:v>
                </c:pt>
                <c:pt idx="16">
                  <c:v>3196</c:v>
                </c:pt>
                <c:pt idx="17">
                  <c:v>2827</c:v>
                </c:pt>
                <c:pt idx="18">
                  <c:v>1691</c:v>
                </c:pt>
                <c:pt idx="19">
                  <c:v>1455</c:v>
                </c:pt>
                <c:pt idx="20">
                  <c:v>1176</c:v>
                </c:pt>
                <c:pt idx="21">
                  <c:v>674</c:v>
                </c:pt>
              </c:numCache>
            </c:numRef>
          </c:xVal>
          <c:yVal>
            <c:numRef>
              <c:f>Sheet6!$Z$2:$Z$23</c:f>
              <c:numCache>
                <c:formatCode>General</c:formatCode>
                <c:ptCount val="22"/>
                <c:pt idx="0">
                  <c:v>22550</c:v>
                </c:pt>
                <c:pt idx="1">
                  <c:v>27421</c:v>
                </c:pt>
                <c:pt idx="2">
                  <c:v>43238</c:v>
                </c:pt>
                <c:pt idx="3">
                  <c:v>30983</c:v>
                </c:pt>
                <c:pt idx="4">
                  <c:v>3104</c:v>
                </c:pt>
                <c:pt idx="5">
                  <c:v>52992</c:v>
                </c:pt>
                <c:pt idx="6">
                  <c:v>19637</c:v>
                </c:pt>
                <c:pt idx="7">
                  <c:v>8884</c:v>
                </c:pt>
                <c:pt idx="8">
                  <c:v>6322</c:v>
                </c:pt>
                <c:pt idx="9">
                  <c:v>3231</c:v>
                </c:pt>
                <c:pt idx="10">
                  <c:v>9796</c:v>
                </c:pt>
                <c:pt idx="11">
                  <c:v>4018</c:v>
                </c:pt>
                <c:pt idx="12">
                  <c:v>4765</c:v>
                </c:pt>
                <c:pt idx="13">
                  <c:v>6791</c:v>
                </c:pt>
                <c:pt idx="14">
                  <c:v>24</c:v>
                </c:pt>
                <c:pt idx="15">
                  <c:v>2122</c:v>
                </c:pt>
                <c:pt idx="16">
                  <c:v>1560</c:v>
                </c:pt>
                <c:pt idx="17">
                  <c:v>2186</c:v>
                </c:pt>
                <c:pt idx="18">
                  <c:v>375</c:v>
                </c:pt>
                <c:pt idx="19">
                  <c:v>248</c:v>
                </c:pt>
                <c:pt idx="20">
                  <c:v>124</c:v>
                </c:pt>
                <c:pt idx="21">
                  <c:v>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F4-42E8-97EB-EF5BCA8B5417}"/>
            </c:ext>
          </c:extLst>
        </c:ser>
        <c:ser>
          <c:idx val="3"/>
          <c:order val="3"/>
          <c:tx>
            <c:strRef>
              <c:f>Sheet6!$AC$1</c:f>
              <c:strCache>
                <c:ptCount val="1"/>
                <c:pt idx="0">
                  <c:v>Europe  Active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Sheet6!$AB$2:$AB$57</c:f>
              <c:numCache>
                <c:formatCode>General</c:formatCode>
                <c:ptCount val="56"/>
                <c:pt idx="0">
                  <c:v>816680</c:v>
                </c:pt>
                <c:pt idx="1">
                  <c:v>301708</c:v>
                </c:pt>
                <c:pt idx="2">
                  <c:v>272421</c:v>
                </c:pt>
                <c:pt idx="3">
                  <c:v>246286</c:v>
                </c:pt>
                <c:pt idx="4">
                  <c:v>227019</c:v>
                </c:pt>
                <c:pt idx="5">
                  <c:v>220352</c:v>
                </c:pt>
                <c:pt idx="6">
                  <c:v>207112</c:v>
                </c:pt>
                <c:pt idx="7">
                  <c:v>84648</c:v>
                </c:pt>
                <c:pt idx="8">
                  <c:v>79395</c:v>
                </c:pt>
                <c:pt idx="9">
                  <c:v>67251</c:v>
                </c:pt>
                <c:pt idx="10">
                  <c:v>67096</c:v>
                </c:pt>
                <c:pt idx="11">
                  <c:v>66428</c:v>
                </c:pt>
                <c:pt idx="12">
                  <c:v>63985</c:v>
                </c:pt>
                <c:pt idx="13">
                  <c:v>53413</c:v>
                </c:pt>
                <c:pt idx="14">
                  <c:v>50299</c:v>
                </c:pt>
                <c:pt idx="15">
                  <c:v>45902</c:v>
                </c:pt>
                <c:pt idx="16">
                  <c:v>43402</c:v>
                </c:pt>
                <c:pt idx="17">
                  <c:v>37390</c:v>
                </c:pt>
                <c:pt idx="18">
                  <c:v>34477</c:v>
                </c:pt>
                <c:pt idx="19">
                  <c:v>33296</c:v>
                </c:pt>
                <c:pt idx="20">
                  <c:v>30446</c:v>
                </c:pt>
                <c:pt idx="21">
                  <c:v>25892</c:v>
                </c:pt>
                <c:pt idx="22">
                  <c:v>24141</c:v>
                </c:pt>
                <c:pt idx="23">
                  <c:v>23154</c:v>
                </c:pt>
                <c:pt idx="24">
                  <c:v>21209</c:v>
                </c:pt>
                <c:pt idx="25">
                  <c:v>20558</c:v>
                </c:pt>
                <c:pt idx="26">
                  <c:v>15516</c:v>
                </c:pt>
                <c:pt idx="27">
                  <c:v>13761</c:v>
                </c:pt>
                <c:pt idx="28">
                  <c:v>10621</c:v>
                </c:pt>
                <c:pt idx="29">
                  <c:v>10498</c:v>
                </c:pt>
                <c:pt idx="30">
                  <c:v>10213</c:v>
                </c:pt>
                <c:pt idx="31">
                  <c:v>9132</c:v>
                </c:pt>
                <c:pt idx="32">
                  <c:v>7413</c:v>
                </c:pt>
                <c:pt idx="33">
                  <c:v>7398</c:v>
                </c:pt>
                <c:pt idx="34">
                  <c:v>7235</c:v>
                </c:pt>
                <c:pt idx="35">
                  <c:v>6321</c:v>
                </c:pt>
                <c:pt idx="36">
                  <c:v>4881</c:v>
                </c:pt>
                <c:pt idx="37">
                  <c:v>4880</c:v>
                </c:pt>
                <c:pt idx="38">
                  <c:v>4448</c:v>
                </c:pt>
                <c:pt idx="39">
                  <c:v>4227</c:v>
                </c:pt>
                <c:pt idx="40">
                  <c:v>2893</c:v>
                </c:pt>
                <c:pt idx="41">
                  <c:v>2181</c:v>
                </c:pt>
                <c:pt idx="42">
                  <c:v>2087</c:v>
                </c:pt>
                <c:pt idx="43">
                  <c:v>2034</c:v>
                </c:pt>
                <c:pt idx="44">
                  <c:v>2019</c:v>
                </c:pt>
                <c:pt idx="45">
                  <c:v>1854</c:v>
                </c:pt>
                <c:pt idx="46">
                  <c:v>1219</c:v>
                </c:pt>
                <c:pt idx="47">
                  <c:v>1137</c:v>
                </c:pt>
                <c:pt idx="48">
                  <c:v>1060</c:v>
                </c:pt>
                <c:pt idx="49">
                  <c:v>907</c:v>
                </c:pt>
                <c:pt idx="50">
                  <c:v>701</c:v>
                </c:pt>
                <c:pt idx="51">
                  <c:v>699</c:v>
                </c:pt>
                <c:pt idx="52">
                  <c:v>116</c:v>
                </c:pt>
                <c:pt idx="53">
                  <c:v>86</c:v>
                </c:pt>
                <c:pt idx="54">
                  <c:v>14</c:v>
                </c:pt>
                <c:pt idx="55">
                  <c:v>12</c:v>
                </c:pt>
              </c:numCache>
            </c:numRef>
          </c:xVal>
          <c:yVal>
            <c:numRef>
              <c:f>Sheet6!$AC$2:$AC$57</c:f>
              <c:numCache>
                <c:formatCode>General</c:formatCode>
                <c:ptCount val="56"/>
                <c:pt idx="0">
                  <c:v>201097</c:v>
                </c:pt>
                <c:pt idx="1">
                  <c:v>254427</c:v>
                </c:pt>
                <c:pt idx="2">
                  <c:v>93613</c:v>
                </c:pt>
                <c:pt idx="3">
                  <c:v>12581</c:v>
                </c:pt>
                <c:pt idx="4">
                  <c:v>10920</c:v>
                </c:pt>
                <c:pt idx="5">
                  <c:v>108928</c:v>
                </c:pt>
                <c:pt idx="6">
                  <c:v>7673</c:v>
                </c:pt>
                <c:pt idx="7">
                  <c:v>29659</c:v>
                </c:pt>
                <c:pt idx="8">
                  <c:v>73695</c:v>
                </c:pt>
                <c:pt idx="9">
                  <c:v>6221</c:v>
                </c:pt>
                <c:pt idx="10">
                  <c:v>28258</c:v>
                </c:pt>
                <c:pt idx="11">
                  <c:v>39154</c:v>
                </c:pt>
                <c:pt idx="12">
                  <c:v>36378</c:v>
                </c:pt>
                <c:pt idx="13">
                  <c:v>47064</c:v>
                </c:pt>
                <c:pt idx="14">
                  <c:v>13205</c:v>
                </c:pt>
                <c:pt idx="15">
                  <c:v>17902</c:v>
                </c:pt>
                <c:pt idx="16">
                  <c:v>8870</c:v>
                </c:pt>
                <c:pt idx="17">
                  <c:v>10014</c:v>
                </c:pt>
                <c:pt idx="18">
                  <c:v>1599</c:v>
                </c:pt>
                <c:pt idx="19">
                  <c:v>10790</c:v>
                </c:pt>
                <c:pt idx="20">
                  <c:v>6781</c:v>
                </c:pt>
                <c:pt idx="21">
                  <c:v>764</c:v>
                </c:pt>
                <c:pt idx="22">
                  <c:v>23598</c:v>
                </c:pt>
                <c:pt idx="23">
                  <c:v>6252</c:v>
                </c:pt>
                <c:pt idx="24">
                  <c:v>9414</c:v>
                </c:pt>
                <c:pt idx="25">
                  <c:v>1599</c:v>
                </c:pt>
                <c:pt idx="26">
                  <c:v>3715</c:v>
                </c:pt>
                <c:pt idx="27">
                  <c:v>543</c:v>
                </c:pt>
                <c:pt idx="28">
                  <c:v>4689</c:v>
                </c:pt>
                <c:pt idx="29">
                  <c:v>5274</c:v>
                </c:pt>
                <c:pt idx="30">
                  <c:v>4183</c:v>
                </c:pt>
                <c:pt idx="31">
                  <c:v>125</c:v>
                </c:pt>
                <c:pt idx="32">
                  <c:v>3201</c:v>
                </c:pt>
                <c:pt idx="33">
                  <c:v>149</c:v>
                </c:pt>
                <c:pt idx="34">
                  <c:v>1147</c:v>
                </c:pt>
                <c:pt idx="35">
                  <c:v>1384</c:v>
                </c:pt>
                <c:pt idx="36">
                  <c:v>806</c:v>
                </c:pt>
                <c:pt idx="37">
                  <c:v>1991</c:v>
                </c:pt>
                <c:pt idx="38">
                  <c:v>523</c:v>
                </c:pt>
                <c:pt idx="39">
                  <c:v>2651</c:v>
                </c:pt>
                <c:pt idx="40">
                  <c:v>2039</c:v>
                </c:pt>
                <c:pt idx="41">
                  <c:v>537</c:v>
                </c:pt>
                <c:pt idx="42">
                  <c:v>238</c:v>
                </c:pt>
                <c:pt idx="43">
                  <c:v>42</c:v>
                </c:pt>
                <c:pt idx="44">
                  <c:v>319</c:v>
                </c:pt>
                <c:pt idx="45">
                  <c:v>21</c:v>
                </c:pt>
                <c:pt idx="46">
                  <c:v>143</c:v>
                </c:pt>
                <c:pt idx="47">
                  <c:v>199</c:v>
                </c:pt>
                <c:pt idx="48">
                  <c:v>189</c:v>
                </c:pt>
                <c:pt idx="49">
                  <c:v>52</c:v>
                </c:pt>
                <c:pt idx="50">
                  <c:v>27</c:v>
                </c:pt>
                <c:pt idx="51">
                  <c:v>0</c:v>
                </c:pt>
                <c:pt idx="52">
                  <c:v>8</c:v>
                </c:pt>
                <c:pt idx="53">
                  <c:v>4</c:v>
                </c:pt>
                <c:pt idx="54">
                  <c:v>1</c:v>
                </c:pt>
                <c:pt idx="5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F4-42E8-97EB-EF5BCA8B5417}"/>
            </c:ext>
          </c:extLst>
        </c:ser>
        <c:ser>
          <c:idx val="4"/>
          <c:order val="4"/>
          <c:tx>
            <c:strRef>
              <c:f>Sheet6!$AF$1</c:f>
              <c:strCache>
                <c:ptCount val="1"/>
                <c:pt idx="0">
                  <c:v>South-East Asia  Active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Sheet6!$AE$2:$AE$11</c:f>
              <c:numCache>
                <c:formatCode>General</c:formatCode>
                <c:ptCount val="10"/>
                <c:pt idx="0">
                  <c:v>1480073</c:v>
                </c:pt>
                <c:pt idx="1">
                  <c:v>226225</c:v>
                </c:pt>
                <c:pt idx="2">
                  <c:v>100303</c:v>
                </c:pt>
                <c:pt idx="3">
                  <c:v>18752</c:v>
                </c:pt>
                <c:pt idx="4">
                  <c:v>3369</c:v>
                </c:pt>
                <c:pt idx="5">
                  <c:v>3297</c:v>
                </c:pt>
                <c:pt idx="6">
                  <c:v>2805</c:v>
                </c:pt>
                <c:pt idx="7">
                  <c:v>350</c:v>
                </c:pt>
                <c:pt idx="8">
                  <c:v>99</c:v>
                </c:pt>
                <c:pt idx="9">
                  <c:v>24</c:v>
                </c:pt>
              </c:numCache>
            </c:numRef>
          </c:xVal>
          <c:yVal>
            <c:numRef>
              <c:f>Sheet6!$AF$2:$AF$11</c:f>
              <c:numCache>
                <c:formatCode>General</c:formatCode>
                <c:ptCount val="10"/>
                <c:pt idx="0">
                  <c:v>495499</c:v>
                </c:pt>
                <c:pt idx="1">
                  <c:v>97577</c:v>
                </c:pt>
                <c:pt idx="2">
                  <c:v>37292</c:v>
                </c:pt>
                <c:pt idx="3">
                  <c:v>4950</c:v>
                </c:pt>
                <c:pt idx="4">
                  <c:v>807</c:v>
                </c:pt>
                <c:pt idx="5">
                  <c:v>128</c:v>
                </c:pt>
                <c:pt idx="6">
                  <c:v>673</c:v>
                </c:pt>
                <c:pt idx="7">
                  <c:v>52</c:v>
                </c:pt>
                <c:pt idx="8">
                  <c:v>13</c:v>
                </c:pt>
                <c:pt idx="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F4-42E8-97EB-EF5BCA8B5417}"/>
            </c:ext>
          </c:extLst>
        </c:ser>
        <c:ser>
          <c:idx val="5"/>
          <c:order val="5"/>
          <c:tx>
            <c:strRef>
              <c:f>Sheet6!$AI$1</c:f>
              <c:strCache>
                <c:ptCount val="1"/>
                <c:pt idx="0">
                  <c:v>Western Pacific  Active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Sheet6!$AH$2:$AH$17</c:f>
              <c:numCache>
                <c:formatCode>General</c:formatCode>
                <c:ptCount val="16"/>
                <c:pt idx="0">
                  <c:v>86783</c:v>
                </c:pt>
                <c:pt idx="1">
                  <c:v>82040</c:v>
                </c:pt>
                <c:pt idx="2">
                  <c:v>50838</c:v>
                </c:pt>
                <c:pt idx="3">
                  <c:v>31142</c:v>
                </c:pt>
                <c:pt idx="4">
                  <c:v>15303</c:v>
                </c:pt>
                <c:pt idx="5">
                  <c:v>14203</c:v>
                </c:pt>
                <c:pt idx="6">
                  <c:v>8904</c:v>
                </c:pt>
                <c:pt idx="7">
                  <c:v>1557</c:v>
                </c:pt>
                <c:pt idx="8">
                  <c:v>462</c:v>
                </c:pt>
                <c:pt idx="9">
                  <c:v>431</c:v>
                </c:pt>
                <c:pt idx="10">
                  <c:v>289</c:v>
                </c:pt>
                <c:pt idx="11">
                  <c:v>226</c:v>
                </c:pt>
                <c:pt idx="12">
                  <c:v>141</c:v>
                </c:pt>
                <c:pt idx="13">
                  <c:v>62</c:v>
                </c:pt>
                <c:pt idx="14">
                  <c:v>27</c:v>
                </c:pt>
                <c:pt idx="15">
                  <c:v>20</c:v>
                </c:pt>
              </c:numCache>
            </c:numRef>
          </c:xVal>
          <c:yVal>
            <c:numRef>
              <c:f>Sheet6!$AI$2:$AI$17</c:f>
              <c:numCache>
                <c:formatCode>General</c:formatCode>
                <c:ptCount val="16"/>
                <c:pt idx="0">
                  <c:v>3258</c:v>
                </c:pt>
                <c:pt idx="1">
                  <c:v>53649</c:v>
                </c:pt>
                <c:pt idx="2">
                  <c:v>5119</c:v>
                </c:pt>
                <c:pt idx="3">
                  <c:v>8174</c:v>
                </c:pt>
                <c:pt idx="4">
                  <c:v>5825</c:v>
                </c:pt>
                <c:pt idx="5">
                  <c:v>896</c:v>
                </c:pt>
                <c:pt idx="6">
                  <c:v>179</c:v>
                </c:pt>
                <c:pt idx="7">
                  <c:v>21</c:v>
                </c:pt>
                <c:pt idx="8">
                  <c:v>15</c:v>
                </c:pt>
                <c:pt idx="9">
                  <c:v>66</c:v>
                </c:pt>
                <c:pt idx="10">
                  <c:v>67</c:v>
                </c:pt>
                <c:pt idx="11">
                  <c:v>79</c:v>
                </c:pt>
                <c:pt idx="12">
                  <c:v>0</c:v>
                </c:pt>
                <c:pt idx="13">
                  <c:v>51</c:v>
                </c:pt>
                <c:pt idx="14">
                  <c:v>9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2F4-42E8-97EB-EF5BCA8B5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991672"/>
        <c:axId val="559992392"/>
      </c:scatterChart>
      <c:valAx>
        <c:axId val="559991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Confirmed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992392"/>
        <c:crosses val="autoZero"/>
        <c:crossBetween val="midCat"/>
      </c:valAx>
      <c:valAx>
        <c:axId val="55999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Active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991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COVID-19 Case Distribution Across WHO Regions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Sum of Confirmed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Sheet5!$A$2:$A$7</c:f>
              <c:strCache>
                <c:ptCount val="6"/>
                <c:pt idx="0">
                  <c:v>Americas</c:v>
                </c:pt>
                <c:pt idx="1">
                  <c:v>Europe</c:v>
                </c:pt>
                <c:pt idx="2">
                  <c:v>South-East Asia</c:v>
                </c:pt>
                <c:pt idx="3">
                  <c:v>Eastern Mediterranean</c:v>
                </c:pt>
                <c:pt idx="4">
                  <c:v>Africa</c:v>
                </c:pt>
                <c:pt idx="5">
                  <c:v>Western Pacific</c:v>
                </c:pt>
              </c:strCache>
            </c:strRef>
          </c:cat>
          <c:val>
            <c:numRef>
              <c:f>Sheet5!$B$2:$B$7</c:f>
              <c:numCache>
                <c:formatCode>General</c:formatCode>
                <c:ptCount val="6"/>
                <c:pt idx="0">
                  <c:v>8839286</c:v>
                </c:pt>
                <c:pt idx="1">
                  <c:v>3299523</c:v>
                </c:pt>
                <c:pt idx="2">
                  <c:v>1835297</c:v>
                </c:pt>
                <c:pt idx="3">
                  <c:v>1490744</c:v>
                </c:pt>
                <c:pt idx="4">
                  <c:v>723207</c:v>
                </c:pt>
                <c:pt idx="5">
                  <c:v>292428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4-4323-A8D4-00988BF05403}"/>
            </c:ext>
          </c:extLst>
        </c:ser>
        <c:ser>
          <c:idx val="1"/>
          <c:order val="1"/>
          <c:tx>
            <c:strRef>
              <c:f>Sheet5!$C$1</c:f>
              <c:strCache>
                <c:ptCount val="1"/>
                <c:pt idx="0">
                  <c:v>Sum of Deaths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Sheet5!$A$2:$A$7</c:f>
              <c:strCache>
                <c:ptCount val="6"/>
                <c:pt idx="0">
                  <c:v>Americas</c:v>
                </c:pt>
                <c:pt idx="1">
                  <c:v>Europe</c:v>
                </c:pt>
                <c:pt idx="2">
                  <c:v>South-East Asia</c:v>
                </c:pt>
                <c:pt idx="3">
                  <c:v>Eastern Mediterranean</c:v>
                </c:pt>
                <c:pt idx="4">
                  <c:v>Africa</c:v>
                </c:pt>
                <c:pt idx="5">
                  <c:v>Western Pacific</c:v>
                </c:pt>
              </c:strCache>
            </c:strRef>
          </c:cat>
          <c:val>
            <c:numRef>
              <c:f>Sheet5!$C$2:$C$7</c:f>
              <c:numCache>
                <c:formatCode>General</c:formatCode>
                <c:ptCount val="6"/>
                <c:pt idx="0">
                  <c:v>342732</c:v>
                </c:pt>
                <c:pt idx="1">
                  <c:v>211144</c:v>
                </c:pt>
                <c:pt idx="2">
                  <c:v>41349</c:v>
                </c:pt>
                <c:pt idx="3">
                  <c:v>38339</c:v>
                </c:pt>
                <c:pt idx="4">
                  <c:v>12223</c:v>
                </c:pt>
                <c:pt idx="5">
                  <c:v>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34-4323-A8D4-00988BF05403}"/>
            </c:ext>
          </c:extLst>
        </c:ser>
        <c:ser>
          <c:idx val="2"/>
          <c:order val="2"/>
          <c:tx>
            <c:strRef>
              <c:f>Sheet5!$D$1</c:f>
              <c:strCache>
                <c:ptCount val="1"/>
                <c:pt idx="0">
                  <c:v>Sum of Recovered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Sheet5!$A$2:$A$7</c:f>
              <c:strCache>
                <c:ptCount val="6"/>
                <c:pt idx="0">
                  <c:v>Americas</c:v>
                </c:pt>
                <c:pt idx="1">
                  <c:v>Europe</c:v>
                </c:pt>
                <c:pt idx="2">
                  <c:v>South-East Asia</c:v>
                </c:pt>
                <c:pt idx="3">
                  <c:v>Eastern Mediterranean</c:v>
                </c:pt>
                <c:pt idx="4">
                  <c:v>Africa</c:v>
                </c:pt>
                <c:pt idx="5">
                  <c:v>Western Pacific</c:v>
                </c:pt>
              </c:strCache>
            </c:strRef>
          </c:cat>
          <c:val>
            <c:numRef>
              <c:f>Sheet5!$D$2:$D$7</c:f>
              <c:numCache>
                <c:formatCode>General</c:formatCode>
                <c:ptCount val="6"/>
                <c:pt idx="0">
                  <c:v>4468616</c:v>
                </c:pt>
                <c:pt idx="1">
                  <c:v>1993723</c:v>
                </c:pt>
                <c:pt idx="2">
                  <c:v>1156933</c:v>
                </c:pt>
                <c:pt idx="3">
                  <c:v>1201400</c:v>
                </c:pt>
                <c:pt idx="4">
                  <c:v>440645</c:v>
                </c:pt>
                <c:pt idx="5">
                  <c:v>206770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34-4323-A8D4-00988BF05403}"/>
            </c:ext>
          </c:extLst>
        </c:ser>
        <c:ser>
          <c:idx val="3"/>
          <c:order val="3"/>
          <c:tx>
            <c:strRef>
              <c:f>Sheet5!$E$1</c:f>
              <c:strCache>
                <c:ptCount val="1"/>
                <c:pt idx="0">
                  <c:v>Sum of Active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Sheet5!$A$2:$A$7</c:f>
              <c:strCache>
                <c:ptCount val="6"/>
                <c:pt idx="0">
                  <c:v>Americas</c:v>
                </c:pt>
                <c:pt idx="1">
                  <c:v>Europe</c:v>
                </c:pt>
                <c:pt idx="2">
                  <c:v>South-East Asia</c:v>
                </c:pt>
                <c:pt idx="3">
                  <c:v>Eastern Mediterranean</c:v>
                </c:pt>
                <c:pt idx="4">
                  <c:v>Africa</c:v>
                </c:pt>
                <c:pt idx="5">
                  <c:v>Western Pacific</c:v>
                </c:pt>
              </c:strCache>
            </c:strRef>
          </c:cat>
          <c:val>
            <c:numRef>
              <c:f>Sheet5!$E$2:$E$7</c:f>
              <c:numCache>
                <c:formatCode>General</c:formatCode>
                <c:ptCount val="6"/>
                <c:pt idx="0">
                  <c:v>4027938</c:v>
                </c:pt>
                <c:pt idx="1">
                  <c:v>1094656</c:v>
                </c:pt>
                <c:pt idx="2">
                  <c:v>637015</c:v>
                </c:pt>
                <c:pt idx="3">
                  <c:v>251005</c:v>
                </c:pt>
                <c:pt idx="4">
                  <c:v>270339</c:v>
                </c:pt>
                <c:pt idx="5">
                  <c:v>77409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34-4323-A8D4-00988BF05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49991176"/>
        <c:axId val="549990096"/>
      </c:barChart>
      <c:catAx>
        <c:axId val="5499911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WHO 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90096"/>
        <c:crosses val="autoZero"/>
        <c:auto val="1"/>
        <c:lblAlgn val="ctr"/>
        <c:lblOffset val="100"/>
        <c:noMultiLvlLbl val="0"/>
      </c:catAx>
      <c:valAx>
        <c:axId val="54999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Confirmed Cases</a:t>
                </a:r>
              </a:p>
            </c:rich>
          </c:tx>
          <c:layout>
            <c:manualLayout>
              <c:xMode val="edge"/>
              <c:yMode val="edge"/>
              <c:x val="0.46931990762344211"/>
              <c:y val="0.84983341477237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91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COVID-19 Case Comparison Across Top 10 Affected Countries</a:t>
            </a:r>
            <a:endParaRPr lang="en-IN" sz="1400" b="1" i="0" u="none" strike="noStrike" kern="1200" baseline="0">
              <a:solidFill>
                <a:srgbClr val="44546A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Sheet5!$B$9</c:f>
              <c:strCache>
                <c:ptCount val="1"/>
                <c:pt idx="0">
                  <c:v>Sum of Confirmed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Sheet5!$A$10:$A$19</c:f>
              <c:strCache>
                <c:ptCount val="10"/>
                <c:pt idx="0">
                  <c:v>US</c:v>
                </c:pt>
                <c:pt idx="1">
                  <c:v>United Kingdom</c:v>
                </c:pt>
                <c:pt idx="2">
                  <c:v>South Africa</c:v>
                </c:pt>
                <c:pt idx="3">
                  <c:v>Russia</c:v>
                </c:pt>
                <c:pt idx="4">
                  <c:v>Peru</c:v>
                </c:pt>
                <c:pt idx="5">
                  <c:v>Mexico</c:v>
                </c:pt>
                <c:pt idx="6">
                  <c:v>Iran</c:v>
                </c:pt>
                <c:pt idx="7">
                  <c:v>India</c:v>
                </c:pt>
                <c:pt idx="8">
                  <c:v>Chile</c:v>
                </c:pt>
                <c:pt idx="9">
                  <c:v>Brazil</c:v>
                </c:pt>
              </c:strCache>
            </c:strRef>
          </c:cat>
          <c:val>
            <c:numRef>
              <c:f>Sheet5!$B$10:$B$19</c:f>
              <c:numCache>
                <c:formatCode>General</c:formatCode>
                <c:ptCount val="10"/>
                <c:pt idx="0">
                  <c:v>4290259</c:v>
                </c:pt>
                <c:pt idx="1">
                  <c:v>301708</c:v>
                </c:pt>
                <c:pt idx="2">
                  <c:v>452529</c:v>
                </c:pt>
                <c:pt idx="3">
                  <c:v>816680</c:v>
                </c:pt>
                <c:pt idx="4">
                  <c:v>389717</c:v>
                </c:pt>
                <c:pt idx="5">
                  <c:v>395489</c:v>
                </c:pt>
                <c:pt idx="6">
                  <c:v>293606</c:v>
                </c:pt>
                <c:pt idx="7">
                  <c:v>1480073</c:v>
                </c:pt>
                <c:pt idx="8">
                  <c:v>347923</c:v>
                </c:pt>
                <c:pt idx="9">
                  <c:v>2442375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5-4421-B636-B5D8D840B116}"/>
            </c:ext>
          </c:extLst>
        </c:ser>
        <c:ser>
          <c:idx val="1"/>
          <c:order val="1"/>
          <c:tx>
            <c:strRef>
              <c:f>Sheet5!$C$9</c:f>
              <c:strCache>
                <c:ptCount val="1"/>
                <c:pt idx="0">
                  <c:v>Sum of Deaths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Sheet5!$A$10:$A$19</c:f>
              <c:strCache>
                <c:ptCount val="10"/>
                <c:pt idx="0">
                  <c:v>US</c:v>
                </c:pt>
                <c:pt idx="1">
                  <c:v>United Kingdom</c:v>
                </c:pt>
                <c:pt idx="2">
                  <c:v>South Africa</c:v>
                </c:pt>
                <c:pt idx="3">
                  <c:v>Russia</c:v>
                </c:pt>
                <c:pt idx="4">
                  <c:v>Peru</c:v>
                </c:pt>
                <c:pt idx="5">
                  <c:v>Mexico</c:v>
                </c:pt>
                <c:pt idx="6">
                  <c:v>Iran</c:v>
                </c:pt>
                <c:pt idx="7">
                  <c:v>India</c:v>
                </c:pt>
                <c:pt idx="8">
                  <c:v>Chile</c:v>
                </c:pt>
                <c:pt idx="9">
                  <c:v>Brazil</c:v>
                </c:pt>
              </c:strCache>
            </c:strRef>
          </c:cat>
          <c:val>
            <c:numRef>
              <c:f>Sheet5!$C$10:$C$19</c:f>
              <c:numCache>
                <c:formatCode>General</c:formatCode>
                <c:ptCount val="10"/>
                <c:pt idx="0">
                  <c:v>148011</c:v>
                </c:pt>
                <c:pt idx="1">
                  <c:v>45844</c:v>
                </c:pt>
                <c:pt idx="2">
                  <c:v>7067</c:v>
                </c:pt>
                <c:pt idx="3">
                  <c:v>13334</c:v>
                </c:pt>
                <c:pt idx="4">
                  <c:v>18418</c:v>
                </c:pt>
                <c:pt idx="5">
                  <c:v>44022</c:v>
                </c:pt>
                <c:pt idx="6">
                  <c:v>15912</c:v>
                </c:pt>
                <c:pt idx="7">
                  <c:v>33408</c:v>
                </c:pt>
                <c:pt idx="8">
                  <c:v>9187</c:v>
                </c:pt>
                <c:pt idx="9">
                  <c:v>87618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75-4421-B636-B5D8D840B116}"/>
            </c:ext>
          </c:extLst>
        </c:ser>
        <c:ser>
          <c:idx val="2"/>
          <c:order val="2"/>
          <c:tx>
            <c:strRef>
              <c:f>Sheet5!$D$9</c:f>
              <c:strCache>
                <c:ptCount val="1"/>
                <c:pt idx="0">
                  <c:v>Sum of Recovered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Sheet5!$A$10:$A$19</c:f>
              <c:strCache>
                <c:ptCount val="10"/>
                <c:pt idx="0">
                  <c:v>US</c:v>
                </c:pt>
                <c:pt idx="1">
                  <c:v>United Kingdom</c:v>
                </c:pt>
                <c:pt idx="2">
                  <c:v>South Africa</c:v>
                </c:pt>
                <c:pt idx="3">
                  <c:v>Russia</c:v>
                </c:pt>
                <c:pt idx="4">
                  <c:v>Peru</c:v>
                </c:pt>
                <c:pt idx="5">
                  <c:v>Mexico</c:v>
                </c:pt>
                <c:pt idx="6">
                  <c:v>Iran</c:v>
                </c:pt>
                <c:pt idx="7">
                  <c:v>India</c:v>
                </c:pt>
                <c:pt idx="8">
                  <c:v>Chile</c:v>
                </c:pt>
                <c:pt idx="9">
                  <c:v>Brazil</c:v>
                </c:pt>
              </c:strCache>
            </c:strRef>
          </c:cat>
          <c:val>
            <c:numRef>
              <c:f>Sheet5!$D$10:$D$19</c:f>
              <c:numCache>
                <c:formatCode>General</c:formatCode>
                <c:ptCount val="10"/>
                <c:pt idx="0">
                  <c:v>1325804</c:v>
                </c:pt>
                <c:pt idx="1">
                  <c:v>1437</c:v>
                </c:pt>
                <c:pt idx="2">
                  <c:v>274925</c:v>
                </c:pt>
                <c:pt idx="3">
                  <c:v>602249</c:v>
                </c:pt>
                <c:pt idx="4">
                  <c:v>272547</c:v>
                </c:pt>
                <c:pt idx="5">
                  <c:v>303810</c:v>
                </c:pt>
                <c:pt idx="6">
                  <c:v>255144</c:v>
                </c:pt>
                <c:pt idx="7">
                  <c:v>951166</c:v>
                </c:pt>
                <c:pt idx="8">
                  <c:v>319954</c:v>
                </c:pt>
                <c:pt idx="9">
                  <c:v>1846641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75-4421-B636-B5D8D840B116}"/>
            </c:ext>
          </c:extLst>
        </c:ser>
        <c:ser>
          <c:idx val="3"/>
          <c:order val="3"/>
          <c:tx>
            <c:strRef>
              <c:f>Sheet5!$E$9</c:f>
              <c:strCache>
                <c:ptCount val="1"/>
                <c:pt idx="0">
                  <c:v>Sum of Active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Sheet5!$A$10:$A$19</c:f>
              <c:strCache>
                <c:ptCount val="10"/>
                <c:pt idx="0">
                  <c:v>US</c:v>
                </c:pt>
                <c:pt idx="1">
                  <c:v>United Kingdom</c:v>
                </c:pt>
                <c:pt idx="2">
                  <c:v>South Africa</c:v>
                </c:pt>
                <c:pt idx="3">
                  <c:v>Russia</c:v>
                </c:pt>
                <c:pt idx="4">
                  <c:v>Peru</c:v>
                </c:pt>
                <c:pt idx="5">
                  <c:v>Mexico</c:v>
                </c:pt>
                <c:pt idx="6">
                  <c:v>Iran</c:v>
                </c:pt>
                <c:pt idx="7">
                  <c:v>India</c:v>
                </c:pt>
                <c:pt idx="8">
                  <c:v>Chile</c:v>
                </c:pt>
                <c:pt idx="9">
                  <c:v>Brazil</c:v>
                </c:pt>
              </c:strCache>
            </c:strRef>
          </c:cat>
          <c:val>
            <c:numRef>
              <c:f>Sheet5!$E$10:$E$19</c:f>
              <c:numCache>
                <c:formatCode>General</c:formatCode>
                <c:ptCount val="10"/>
                <c:pt idx="0">
                  <c:v>2816444</c:v>
                </c:pt>
                <c:pt idx="1">
                  <c:v>254427</c:v>
                </c:pt>
                <c:pt idx="2">
                  <c:v>170537</c:v>
                </c:pt>
                <c:pt idx="3">
                  <c:v>201097</c:v>
                </c:pt>
                <c:pt idx="4">
                  <c:v>98752</c:v>
                </c:pt>
                <c:pt idx="5">
                  <c:v>47657</c:v>
                </c:pt>
                <c:pt idx="6">
                  <c:v>22550</c:v>
                </c:pt>
                <c:pt idx="7">
                  <c:v>495499</c:v>
                </c:pt>
                <c:pt idx="8">
                  <c:v>18782</c:v>
                </c:pt>
                <c:pt idx="9">
                  <c:v>508116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75-4421-B636-B5D8D840B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887256"/>
        <c:axId val="715888696"/>
      </c:barChart>
      <c:catAx>
        <c:axId val="715887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888696"/>
        <c:crosses val="autoZero"/>
        <c:auto val="1"/>
        <c:lblAlgn val="ctr"/>
        <c:lblOffset val="100"/>
        <c:noMultiLvlLbl val="0"/>
      </c:catAx>
      <c:valAx>
        <c:axId val="715888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Confirmed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88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10 Countries with Highest COVID-19 Deaths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Sheet5!$B$21</c:f>
              <c:strCache>
                <c:ptCount val="1"/>
                <c:pt idx="0">
                  <c:v>Sum of Deaths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Sheet5!$A$22:$A$31</c:f>
              <c:strCache>
                <c:ptCount val="10"/>
                <c:pt idx="0">
                  <c:v>US</c:v>
                </c:pt>
                <c:pt idx="1">
                  <c:v>Brazil</c:v>
                </c:pt>
                <c:pt idx="2">
                  <c:v>United Kingdom</c:v>
                </c:pt>
                <c:pt idx="3">
                  <c:v>Mexico</c:v>
                </c:pt>
                <c:pt idx="4">
                  <c:v>Italy</c:v>
                </c:pt>
                <c:pt idx="5">
                  <c:v>India</c:v>
                </c:pt>
                <c:pt idx="6">
                  <c:v>France</c:v>
                </c:pt>
                <c:pt idx="7">
                  <c:v>Spain</c:v>
                </c:pt>
                <c:pt idx="8">
                  <c:v>Peru</c:v>
                </c:pt>
                <c:pt idx="9">
                  <c:v>Iran</c:v>
                </c:pt>
              </c:strCache>
            </c:strRef>
          </c:cat>
          <c:val>
            <c:numRef>
              <c:f>Sheet5!$B$22:$B$31</c:f>
              <c:numCache>
                <c:formatCode>General</c:formatCode>
                <c:ptCount val="10"/>
                <c:pt idx="0">
                  <c:v>148011</c:v>
                </c:pt>
                <c:pt idx="1">
                  <c:v>87618</c:v>
                </c:pt>
                <c:pt idx="2">
                  <c:v>45844</c:v>
                </c:pt>
                <c:pt idx="3">
                  <c:v>44022</c:v>
                </c:pt>
                <c:pt idx="4">
                  <c:v>35112</c:v>
                </c:pt>
                <c:pt idx="5">
                  <c:v>33408</c:v>
                </c:pt>
                <c:pt idx="6">
                  <c:v>30212</c:v>
                </c:pt>
                <c:pt idx="7">
                  <c:v>28432</c:v>
                </c:pt>
                <c:pt idx="8">
                  <c:v>18418</c:v>
                </c:pt>
                <c:pt idx="9">
                  <c:v>15912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4-4302-B3E8-9A002ED51BEC}"/>
            </c:ext>
          </c:extLst>
        </c:ser>
        <c:ser>
          <c:idx val="1"/>
          <c:order val="1"/>
          <c:tx>
            <c:strRef>
              <c:f>Sheet5!$C$21</c:f>
              <c:strCache>
                <c:ptCount val="1"/>
                <c:pt idx="0">
                  <c:v>Sum of Confirmed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Sheet5!$A$22:$A$31</c:f>
              <c:strCache>
                <c:ptCount val="10"/>
                <c:pt idx="0">
                  <c:v>US</c:v>
                </c:pt>
                <c:pt idx="1">
                  <c:v>Brazil</c:v>
                </c:pt>
                <c:pt idx="2">
                  <c:v>United Kingdom</c:v>
                </c:pt>
                <c:pt idx="3">
                  <c:v>Mexico</c:v>
                </c:pt>
                <c:pt idx="4">
                  <c:v>Italy</c:v>
                </c:pt>
                <c:pt idx="5">
                  <c:v>India</c:v>
                </c:pt>
                <c:pt idx="6">
                  <c:v>France</c:v>
                </c:pt>
                <c:pt idx="7">
                  <c:v>Spain</c:v>
                </c:pt>
                <c:pt idx="8">
                  <c:v>Peru</c:v>
                </c:pt>
                <c:pt idx="9">
                  <c:v>Iran</c:v>
                </c:pt>
              </c:strCache>
            </c:strRef>
          </c:cat>
          <c:val>
            <c:numRef>
              <c:f>Sheet5!$C$22:$C$31</c:f>
              <c:numCache>
                <c:formatCode>General</c:formatCode>
                <c:ptCount val="10"/>
                <c:pt idx="0">
                  <c:v>4290259</c:v>
                </c:pt>
                <c:pt idx="1">
                  <c:v>2442375</c:v>
                </c:pt>
                <c:pt idx="2">
                  <c:v>301708</c:v>
                </c:pt>
                <c:pt idx="3">
                  <c:v>395489</c:v>
                </c:pt>
                <c:pt idx="4">
                  <c:v>246286</c:v>
                </c:pt>
                <c:pt idx="5">
                  <c:v>1480073</c:v>
                </c:pt>
                <c:pt idx="6">
                  <c:v>220352</c:v>
                </c:pt>
                <c:pt idx="7">
                  <c:v>272421</c:v>
                </c:pt>
                <c:pt idx="8">
                  <c:v>389717</c:v>
                </c:pt>
                <c:pt idx="9">
                  <c:v>293606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74-4302-B3E8-9A002ED51BEC}"/>
            </c:ext>
          </c:extLst>
        </c:ser>
        <c:ser>
          <c:idx val="2"/>
          <c:order val="2"/>
          <c:tx>
            <c:strRef>
              <c:f>Sheet5!$D$21</c:f>
              <c:strCache>
                <c:ptCount val="1"/>
                <c:pt idx="0">
                  <c:v>Sum of Recovered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Sheet5!$A$22:$A$31</c:f>
              <c:strCache>
                <c:ptCount val="10"/>
                <c:pt idx="0">
                  <c:v>US</c:v>
                </c:pt>
                <c:pt idx="1">
                  <c:v>Brazil</c:v>
                </c:pt>
                <c:pt idx="2">
                  <c:v>United Kingdom</c:v>
                </c:pt>
                <c:pt idx="3">
                  <c:v>Mexico</c:v>
                </c:pt>
                <c:pt idx="4">
                  <c:v>Italy</c:v>
                </c:pt>
                <c:pt idx="5">
                  <c:v>India</c:v>
                </c:pt>
                <c:pt idx="6">
                  <c:v>France</c:v>
                </c:pt>
                <c:pt idx="7">
                  <c:v>Spain</c:v>
                </c:pt>
                <c:pt idx="8">
                  <c:v>Peru</c:v>
                </c:pt>
                <c:pt idx="9">
                  <c:v>Iran</c:v>
                </c:pt>
              </c:strCache>
            </c:strRef>
          </c:cat>
          <c:val>
            <c:numRef>
              <c:f>Sheet5!$D$22:$D$31</c:f>
              <c:numCache>
                <c:formatCode>General</c:formatCode>
                <c:ptCount val="10"/>
                <c:pt idx="0">
                  <c:v>1325804</c:v>
                </c:pt>
                <c:pt idx="1">
                  <c:v>1846641</c:v>
                </c:pt>
                <c:pt idx="2">
                  <c:v>1437</c:v>
                </c:pt>
                <c:pt idx="3">
                  <c:v>303810</c:v>
                </c:pt>
                <c:pt idx="4">
                  <c:v>198593</c:v>
                </c:pt>
                <c:pt idx="5">
                  <c:v>951166</c:v>
                </c:pt>
                <c:pt idx="6">
                  <c:v>81212</c:v>
                </c:pt>
                <c:pt idx="7">
                  <c:v>150376</c:v>
                </c:pt>
                <c:pt idx="8">
                  <c:v>272547</c:v>
                </c:pt>
                <c:pt idx="9">
                  <c:v>255144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74-4302-B3E8-9A002ED51BEC}"/>
            </c:ext>
          </c:extLst>
        </c:ser>
        <c:ser>
          <c:idx val="3"/>
          <c:order val="3"/>
          <c:tx>
            <c:strRef>
              <c:f>Sheet5!$E$21</c:f>
              <c:strCache>
                <c:ptCount val="1"/>
                <c:pt idx="0">
                  <c:v>Sum of Active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Sheet5!$A$22:$A$31</c:f>
              <c:strCache>
                <c:ptCount val="10"/>
                <c:pt idx="0">
                  <c:v>US</c:v>
                </c:pt>
                <c:pt idx="1">
                  <c:v>Brazil</c:v>
                </c:pt>
                <c:pt idx="2">
                  <c:v>United Kingdom</c:v>
                </c:pt>
                <c:pt idx="3">
                  <c:v>Mexico</c:v>
                </c:pt>
                <c:pt idx="4">
                  <c:v>Italy</c:v>
                </c:pt>
                <c:pt idx="5">
                  <c:v>India</c:v>
                </c:pt>
                <c:pt idx="6">
                  <c:v>France</c:v>
                </c:pt>
                <c:pt idx="7">
                  <c:v>Spain</c:v>
                </c:pt>
                <c:pt idx="8">
                  <c:v>Peru</c:v>
                </c:pt>
                <c:pt idx="9">
                  <c:v>Iran</c:v>
                </c:pt>
              </c:strCache>
            </c:strRef>
          </c:cat>
          <c:val>
            <c:numRef>
              <c:f>Sheet5!$E$22:$E$31</c:f>
              <c:numCache>
                <c:formatCode>General</c:formatCode>
                <c:ptCount val="10"/>
                <c:pt idx="0">
                  <c:v>2816444</c:v>
                </c:pt>
                <c:pt idx="1">
                  <c:v>508116</c:v>
                </c:pt>
                <c:pt idx="2">
                  <c:v>254427</c:v>
                </c:pt>
                <c:pt idx="3">
                  <c:v>47657</c:v>
                </c:pt>
                <c:pt idx="4">
                  <c:v>12581</c:v>
                </c:pt>
                <c:pt idx="5">
                  <c:v>495499</c:v>
                </c:pt>
                <c:pt idx="6">
                  <c:v>108928</c:v>
                </c:pt>
                <c:pt idx="7">
                  <c:v>93613</c:v>
                </c:pt>
                <c:pt idx="8">
                  <c:v>98752</c:v>
                </c:pt>
                <c:pt idx="9">
                  <c:v>22550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74-4302-B3E8-9A002ED51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996312"/>
        <c:axId val="599992352"/>
      </c:barChart>
      <c:catAx>
        <c:axId val="599996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92352"/>
        <c:crosses val="autoZero"/>
        <c:auto val="1"/>
        <c:lblAlgn val="ctr"/>
        <c:lblOffset val="100"/>
        <c:noMultiLvlLbl val="0"/>
      </c:catAx>
      <c:valAx>
        <c:axId val="59999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Deaths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9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</xdr:rowOff>
    </xdr:from>
    <xdr:to>
      <xdr:col>9</xdr:col>
      <xdr:colOff>600075</xdr:colOff>
      <xdr:row>21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5B2D42-D94D-4C3D-BAB2-6C2C67101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649068-7177-45B7-A4EC-8D1EE8F1F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609599</xdr:colOff>
      <xdr:row>3</xdr:row>
      <xdr:rowOff>0</xdr:rowOff>
    </xdr:from>
    <xdr:to>
      <xdr:col>30</xdr:col>
      <xdr:colOff>0</xdr:colOff>
      <xdr:row>20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443324-71CE-4636-8E15-7A94AF0941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</xdr:colOff>
      <xdr:row>21</xdr:row>
      <xdr:rowOff>0</xdr:rowOff>
    </xdr:from>
    <xdr:to>
      <xdr:col>9</xdr:col>
      <xdr:colOff>596622</xdr:colOff>
      <xdr:row>38</xdr:row>
      <xdr:rowOff>177939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95238B-490A-445A-A477-4F1871ACE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596620</xdr:colOff>
      <xdr:row>21</xdr:row>
      <xdr:rowOff>10468</xdr:rowOff>
    </xdr:from>
    <xdr:to>
      <xdr:col>19</xdr:col>
      <xdr:colOff>607087</xdr:colOff>
      <xdr:row>38</xdr:row>
      <xdr:rowOff>177938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B1EEA8-FD92-477D-8233-B7A998CAB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10467</xdr:colOff>
      <xdr:row>39</xdr:row>
      <xdr:rowOff>10469</xdr:rowOff>
    </xdr:from>
    <xdr:to>
      <xdr:col>9</xdr:col>
      <xdr:colOff>607087</xdr:colOff>
      <xdr:row>57</xdr:row>
      <xdr:rowOff>20934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E130A6-3F51-4F83-9512-3B5B68486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20934</xdr:colOff>
      <xdr:row>39</xdr:row>
      <xdr:rowOff>10466</xdr:rowOff>
    </xdr:from>
    <xdr:to>
      <xdr:col>20</xdr:col>
      <xdr:colOff>10466</xdr:colOff>
      <xdr:row>57</xdr:row>
      <xdr:rowOff>20933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9FB2CAE-45DD-4DCE-BDFB-8F9C22C1D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31399</xdr:colOff>
      <xdr:row>39</xdr:row>
      <xdr:rowOff>4</xdr:rowOff>
    </xdr:from>
    <xdr:to>
      <xdr:col>30</xdr:col>
      <xdr:colOff>10467</xdr:colOff>
      <xdr:row>57</xdr:row>
      <xdr:rowOff>10467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D37EAC4-F601-499C-8EF0-174ED791C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10467</xdr:colOff>
      <xdr:row>21</xdr:row>
      <xdr:rowOff>0</xdr:rowOff>
    </xdr:from>
    <xdr:to>
      <xdr:col>30</xdr:col>
      <xdr:colOff>0</xdr:colOff>
      <xdr:row>38</xdr:row>
      <xdr:rowOff>177939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A1CB0B2-EC6F-4F2B-A2C7-08399A3C2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57</xdr:row>
      <xdr:rowOff>20935</xdr:rowOff>
    </xdr:from>
    <xdr:to>
      <xdr:col>14</xdr:col>
      <xdr:colOff>596621</xdr:colOff>
      <xdr:row>75</xdr:row>
      <xdr:rowOff>31402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414E687-7FD9-4D30-B3CD-3031F38FC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10467</xdr:colOff>
      <xdr:row>57</xdr:row>
      <xdr:rowOff>20933</xdr:rowOff>
    </xdr:from>
    <xdr:to>
      <xdr:col>24</xdr:col>
      <xdr:colOff>607087</xdr:colOff>
      <xdr:row>75</xdr:row>
      <xdr:rowOff>20934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9A53A3C-BB22-4662-A2B7-D5703A386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75687</xdr:colOff>
      <xdr:row>76</xdr:row>
      <xdr:rowOff>30727</xdr:rowOff>
    </xdr:from>
    <xdr:to>
      <xdr:col>10</xdr:col>
      <xdr:colOff>161412</xdr:colOff>
      <xdr:row>90</xdr:row>
      <xdr:rowOff>154551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1440C5E9-4958-0649-0416-F0EC2AC49B01}"/>
            </a:ext>
          </a:extLst>
        </xdr:cNvPr>
        <xdr:cNvSpPr/>
      </xdr:nvSpPr>
      <xdr:spPr>
        <a:xfrm>
          <a:off x="75687" y="15383388"/>
          <a:ext cx="6230886" cy="2848179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332147</xdr:colOff>
      <xdr:row>77</xdr:row>
      <xdr:rowOff>98835</xdr:rowOff>
    </xdr:from>
    <xdr:to>
      <xdr:col>9</xdr:col>
      <xdr:colOff>518037</xdr:colOff>
      <xdr:row>89</xdr:row>
      <xdr:rowOff>70259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D30D814-0627-6581-0B2D-13D589EDCF69}"/>
            </a:ext>
          </a:extLst>
        </xdr:cNvPr>
        <xdr:cNvSpPr txBox="1"/>
      </xdr:nvSpPr>
      <xdr:spPr>
        <a:xfrm>
          <a:off x="332147" y="15646093"/>
          <a:ext cx="5716535" cy="230658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>
            <a:buFont typeface="Arial" panose="020B0604020202020204" pitchFamily="34" charset="0"/>
            <a:buNone/>
          </a:pPr>
          <a:r>
            <a:rPr lang="en-IN" sz="1600" b="1"/>
            <a:t>Key Insights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400"/>
            <a:t>Americas contributed the largest share of confirmed COVID-19 cases.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400"/>
            <a:t>The United States recorded the highest number of confirmed and active cases.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400"/>
            <a:t>Brazil reported the second-highest number of confirmed cases and recoveries.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400"/>
            <a:t>Europe experienced substantial recovery numbers despite high case counts.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400"/>
            <a:t>A small number of countries accounted for a majority of global cases.</a:t>
          </a:r>
        </a:p>
      </xdr:txBody>
    </xdr:sp>
    <xdr:clientData/>
  </xdr:twoCellAnchor>
  <xdr:twoCellAnchor>
    <xdr:from>
      <xdr:col>4</xdr:col>
      <xdr:colOff>590549</xdr:colOff>
      <xdr:row>0</xdr:row>
      <xdr:rowOff>47625</xdr:rowOff>
    </xdr:from>
    <xdr:to>
      <xdr:col>25</xdr:col>
      <xdr:colOff>600075</xdr:colOff>
      <xdr:row>2</xdr:row>
      <xdr:rowOff>133350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865B29CB-D782-8CBD-D6F3-D7C2DDBD7AE1}"/>
            </a:ext>
          </a:extLst>
        </xdr:cNvPr>
        <xdr:cNvGrpSpPr/>
      </xdr:nvGrpSpPr>
      <xdr:grpSpPr>
        <a:xfrm>
          <a:off x="3011020" y="47625"/>
          <a:ext cx="12716996" cy="1038225"/>
          <a:chOff x="0" y="0"/>
          <a:chExt cx="11296650" cy="1047751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308DD673-3EF4-B33A-45A8-DEF0FC10A2A5}"/>
              </a:ext>
            </a:extLst>
          </xdr:cNvPr>
          <xdr:cNvGrpSpPr/>
        </xdr:nvGrpSpPr>
        <xdr:grpSpPr>
          <a:xfrm>
            <a:off x="0" y="0"/>
            <a:ext cx="1819274" cy="1000125"/>
            <a:chOff x="0" y="0"/>
            <a:chExt cx="1819274" cy="1000125"/>
          </a:xfrm>
        </xdr:grpSpPr>
        <xdr:sp macro="" textlink="">
          <xdr:nvSpPr>
            <xdr:cNvPr id="39" name="Rectangle: Rounded Corners 38">
              <a:extLst>
                <a:ext uri="{FF2B5EF4-FFF2-40B4-BE49-F238E27FC236}">
                  <a16:creationId xmlns:a16="http://schemas.microsoft.com/office/drawing/2014/main" id="{517F72B1-3AF2-40AA-AD2C-9FBBC40F4210}"/>
                </a:ext>
              </a:extLst>
            </xdr:cNvPr>
            <xdr:cNvSpPr/>
          </xdr:nvSpPr>
          <xdr:spPr>
            <a:xfrm>
              <a:off x="0" y="0"/>
              <a:ext cx="1819274" cy="1000125"/>
            </a:xfrm>
            <a:prstGeom prst="roundRect">
              <a:avLst/>
            </a:prstGeom>
            <a:solidFill>
              <a:srgbClr val="A7D1EB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IN"/>
            </a:p>
          </xdr:txBody>
        </xdr:sp>
        <xdr:sp macro="" textlink="">
          <xdr:nvSpPr>
            <xdr:cNvPr id="40" name="TextBox 7">
              <a:extLst>
                <a:ext uri="{FF2B5EF4-FFF2-40B4-BE49-F238E27FC236}">
                  <a16:creationId xmlns:a16="http://schemas.microsoft.com/office/drawing/2014/main" id="{68990945-13C9-F745-A805-0D94486B31F5}"/>
                </a:ext>
              </a:extLst>
            </xdr:cNvPr>
            <xdr:cNvSpPr txBox="1"/>
          </xdr:nvSpPr>
          <xdr:spPr>
            <a:xfrm>
              <a:off x="0" y="190500"/>
              <a:ext cx="1771649" cy="647700"/>
            </a:xfrm>
            <a:prstGeom prst="rect">
              <a:avLst/>
            </a:prstGeom>
            <a:solidFill>
              <a:srgbClr val="A7D1EB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>
              <a:noAutofit/>
            </a:bodyPr>
            <a:lstStyle/>
            <a:p>
              <a:pPr algn="ctr"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IN" sz="1100" b="1" kern="100">
                  <a:solidFill>
                    <a:srgbClr val="000000"/>
                  </a:solidFill>
                  <a:effectLst/>
                  <a:latin typeface="Aptos Display" panose="020B0004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Total Confirmed Cases</a:t>
              </a:r>
              <a:br>
                <a:rPr lang="en-IN" sz="1100" b="1" kern="100">
                  <a:solidFill>
                    <a:srgbClr val="000000"/>
                  </a:solidFill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</a:br>
              <a:r>
                <a:rPr lang="en-IN" sz="2000" b="1" kern="100">
                  <a:solidFill>
                    <a:srgbClr val="000000"/>
                  </a:solidFill>
                  <a:effectLst/>
                  <a:latin typeface="Aptos Display" panose="020B0004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16480485</a:t>
              </a:r>
              <a:endParaRPr lang="en-IN" sz="1100" kern="100">
                <a:effectLst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C7861040-BF8A-8749-0E21-916ABED54337}"/>
              </a:ext>
            </a:extLst>
          </xdr:cNvPr>
          <xdr:cNvGrpSpPr/>
        </xdr:nvGrpSpPr>
        <xdr:grpSpPr>
          <a:xfrm>
            <a:off x="1790700" y="0"/>
            <a:ext cx="1819275" cy="1019175"/>
            <a:chOff x="0" y="0"/>
            <a:chExt cx="1819275" cy="1019175"/>
          </a:xfrm>
        </xdr:grpSpPr>
        <xdr:sp macro="" textlink="">
          <xdr:nvSpPr>
            <xdr:cNvPr id="37" name="Rectangle: Rounded Corners 36">
              <a:extLst>
                <a:ext uri="{FF2B5EF4-FFF2-40B4-BE49-F238E27FC236}">
                  <a16:creationId xmlns:a16="http://schemas.microsoft.com/office/drawing/2014/main" id="{E3A69CB0-B36C-4127-8467-F121EC162F81}"/>
                </a:ext>
              </a:extLst>
            </xdr:cNvPr>
            <xdr:cNvSpPr/>
          </xdr:nvSpPr>
          <xdr:spPr>
            <a:xfrm>
              <a:off x="0" y="0"/>
              <a:ext cx="1819275" cy="1019175"/>
            </a:xfrm>
            <a:prstGeom prst="roundRect">
              <a:avLst/>
            </a:prstGeom>
            <a:solidFill>
              <a:srgbClr val="FF4B4B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IN"/>
            </a:p>
          </xdr:txBody>
        </xdr:sp>
        <xdr:sp macro="" textlink="">
          <xdr:nvSpPr>
            <xdr:cNvPr id="38" name="TextBox 8">
              <a:extLst>
                <a:ext uri="{FF2B5EF4-FFF2-40B4-BE49-F238E27FC236}">
                  <a16:creationId xmlns:a16="http://schemas.microsoft.com/office/drawing/2014/main" id="{41843ED4-292D-486F-AA3A-9A3320E31C39}"/>
                </a:ext>
              </a:extLst>
            </xdr:cNvPr>
            <xdr:cNvSpPr txBox="1"/>
          </xdr:nvSpPr>
          <xdr:spPr>
            <a:xfrm>
              <a:off x="38100" y="190500"/>
              <a:ext cx="1771650" cy="666750"/>
            </a:xfrm>
            <a:prstGeom prst="rect">
              <a:avLst/>
            </a:prstGeom>
            <a:solidFill>
              <a:srgbClr val="FF4B4B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>
              <a:noAutofit/>
            </a:bodyPr>
            <a:lstStyle/>
            <a:p>
              <a:pPr algn="ctr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-IN" sz="1100" b="1" kern="100">
                  <a:solidFill>
                    <a:srgbClr val="000000"/>
                  </a:solidFill>
                  <a:effectLst/>
                  <a:latin typeface="Aptos Display" panose="020B0004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Total Deaths</a:t>
              </a:r>
              <a:br>
                <a:rPr lang="en-IN" sz="1100" b="1" kern="100">
                  <a:solidFill>
                    <a:srgbClr val="000000"/>
                  </a:solidFill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</a:br>
              <a:r>
                <a:rPr lang="en-IN" sz="2000" b="1" kern="100">
                  <a:solidFill>
                    <a:srgbClr val="000000"/>
                  </a:solidFill>
                  <a:effectLst/>
                  <a:latin typeface="Aptos Display" panose="020B0004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654036</a:t>
              </a:r>
              <a:endParaRPr lang="en-IN" sz="1100" kern="100">
                <a:effectLst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C46FCD46-95D7-421C-581B-1ECCBA69E3F8}"/>
              </a:ext>
            </a:extLst>
          </xdr:cNvPr>
          <xdr:cNvGrpSpPr/>
        </xdr:nvGrpSpPr>
        <xdr:grpSpPr>
          <a:xfrm>
            <a:off x="3619500" y="0"/>
            <a:ext cx="1876425" cy="1038225"/>
            <a:chOff x="0" y="0"/>
            <a:chExt cx="1876425" cy="1038225"/>
          </a:xfrm>
        </xdr:grpSpPr>
        <xdr:sp macro="" textlink="">
          <xdr:nvSpPr>
            <xdr:cNvPr id="35" name="Rectangle: Rounded Corners 34">
              <a:extLst>
                <a:ext uri="{FF2B5EF4-FFF2-40B4-BE49-F238E27FC236}">
                  <a16:creationId xmlns:a16="http://schemas.microsoft.com/office/drawing/2014/main" id="{CF1D133C-6D95-4886-8201-A457CC54E099}"/>
                </a:ext>
              </a:extLst>
            </xdr:cNvPr>
            <xdr:cNvSpPr/>
          </xdr:nvSpPr>
          <xdr:spPr>
            <a:xfrm>
              <a:off x="0" y="0"/>
              <a:ext cx="1876425" cy="1038225"/>
            </a:xfrm>
            <a:prstGeom prst="roundRect">
              <a:avLst/>
            </a:prstGeom>
            <a:solidFill>
              <a:srgbClr val="B6DF89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IN"/>
            </a:p>
          </xdr:txBody>
        </xdr:sp>
        <xdr:sp macro="" textlink="">
          <xdr:nvSpPr>
            <xdr:cNvPr id="36" name="TextBox 9">
              <a:extLst>
                <a:ext uri="{FF2B5EF4-FFF2-40B4-BE49-F238E27FC236}">
                  <a16:creationId xmlns:a16="http://schemas.microsoft.com/office/drawing/2014/main" id="{EECE860C-4DC4-4146-B5E0-92624F5CEDA6}"/>
                </a:ext>
              </a:extLst>
            </xdr:cNvPr>
            <xdr:cNvSpPr txBox="1"/>
          </xdr:nvSpPr>
          <xdr:spPr>
            <a:xfrm>
              <a:off x="38100" y="200025"/>
              <a:ext cx="1781175" cy="628650"/>
            </a:xfrm>
            <a:prstGeom prst="rect">
              <a:avLst/>
            </a:prstGeom>
            <a:solidFill>
              <a:srgbClr val="B6DF89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>
              <a:noAutofit/>
            </a:bodyPr>
            <a:lstStyle/>
            <a:p>
              <a:pPr algn="ctr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-IN" sz="1100" b="1" kern="100">
                  <a:solidFill>
                    <a:srgbClr val="000000"/>
                  </a:solidFill>
                  <a:effectLst/>
                  <a:latin typeface="Aptos Display" panose="020B0004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Total Recovered Cases</a:t>
              </a:r>
              <a:br>
                <a:rPr lang="en-IN" sz="1100" b="1" kern="100">
                  <a:solidFill>
                    <a:srgbClr val="000000"/>
                  </a:solidFill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</a:br>
              <a:r>
                <a:rPr lang="en-IN" sz="2000" b="1" kern="100">
                  <a:solidFill>
                    <a:srgbClr val="000000"/>
                  </a:solidFill>
                  <a:effectLst/>
                  <a:latin typeface="Aptos Display" panose="020B0004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9468087</a:t>
              </a:r>
              <a:endParaRPr lang="en-IN" sz="1100" kern="100">
                <a:effectLst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10660F1E-5635-CA0C-8396-42FC25393E81}"/>
              </a:ext>
            </a:extLst>
          </xdr:cNvPr>
          <xdr:cNvGrpSpPr/>
        </xdr:nvGrpSpPr>
        <xdr:grpSpPr>
          <a:xfrm>
            <a:off x="5476875" y="19050"/>
            <a:ext cx="1885950" cy="1028701"/>
            <a:chOff x="0" y="0"/>
            <a:chExt cx="1885950" cy="1028701"/>
          </a:xfrm>
        </xdr:grpSpPr>
        <xdr:sp macro="" textlink="">
          <xdr:nvSpPr>
            <xdr:cNvPr id="33" name="Rectangle: Rounded Corners 32">
              <a:extLst>
                <a:ext uri="{FF2B5EF4-FFF2-40B4-BE49-F238E27FC236}">
                  <a16:creationId xmlns:a16="http://schemas.microsoft.com/office/drawing/2014/main" id="{E175CCF6-1CB2-427E-99AF-F3006BFA12CA}"/>
                </a:ext>
              </a:extLst>
            </xdr:cNvPr>
            <xdr:cNvSpPr/>
          </xdr:nvSpPr>
          <xdr:spPr>
            <a:xfrm>
              <a:off x="0" y="0"/>
              <a:ext cx="1885950" cy="1028701"/>
            </a:xfrm>
            <a:prstGeom prst="roundRect">
              <a:avLst/>
            </a:prstGeom>
            <a:solidFill>
              <a:srgbClr val="FFFF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IN"/>
            </a:p>
          </xdr:txBody>
        </xdr:sp>
        <xdr:sp macro="" textlink="">
          <xdr:nvSpPr>
            <xdr:cNvPr id="34" name="TextBox 10">
              <a:extLst>
                <a:ext uri="{FF2B5EF4-FFF2-40B4-BE49-F238E27FC236}">
                  <a16:creationId xmlns:a16="http://schemas.microsoft.com/office/drawing/2014/main" id="{62C284F4-DED6-4D4A-B7E6-3934832E487A}"/>
                </a:ext>
              </a:extLst>
            </xdr:cNvPr>
            <xdr:cNvSpPr txBox="1"/>
          </xdr:nvSpPr>
          <xdr:spPr>
            <a:xfrm>
              <a:off x="28575" y="200025"/>
              <a:ext cx="1838325" cy="600075"/>
            </a:xfrm>
            <a:prstGeom prst="rect">
              <a:avLst/>
            </a:prstGeom>
            <a:solidFill>
              <a:srgbClr val="FFFF00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-IN" sz="1100" b="1" kern="100">
                  <a:solidFill>
                    <a:srgbClr val="000000"/>
                  </a:solidFill>
                  <a:effectLst/>
                  <a:latin typeface="Aptos Display" panose="020B0004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Total Active Cases</a:t>
              </a:r>
              <a:br>
                <a:rPr lang="en-IN" sz="1100" b="1" kern="100">
                  <a:solidFill>
                    <a:srgbClr val="000000"/>
                  </a:solidFill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</a:br>
              <a:r>
                <a:rPr lang="en-IN" sz="2000" b="1" kern="100">
                  <a:solidFill>
                    <a:srgbClr val="000000"/>
                  </a:solidFill>
                  <a:effectLst/>
                  <a:latin typeface="Aptos Display" panose="020B0004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6358362</a:t>
              </a:r>
              <a:endParaRPr lang="en-IN" sz="1100" kern="100">
                <a:effectLst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7D40D92B-CC43-E541-5A4F-8088EBF0D2BA}"/>
              </a:ext>
            </a:extLst>
          </xdr:cNvPr>
          <xdr:cNvGrpSpPr/>
        </xdr:nvGrpSpPr>
        <xdr:grpSpPr>
          <a:xfrm>
            <a:off x="7372350" y="19050"/>
            <a:ext cx="2019300" cy="1028701"/>
            <a:chOff x="0" y="0"/>
            <a:chExt cx="2019300" cy="1028701"/>
          </a:xfrm>
        </xdr:grpSpPr>
        <xdr:sp macro="" textlink="">
          <xdr:nvSpPr>
            <xdr:cNvPr id="31" name="Rectangle: Rounded Corners 30">
              <a:extLst>
                <a:ext uri="{FF2B5EF4-FFF2-40B4-BE49-F238E27FC236}">
                  <a16:creationId xmlns:a16="http://schemas.microsoft.com/office/drawing/2014/main" id="{7BE361FA-DECD-4189-9C13-4EE62745A659}"/>
                </a:ext>
              </a:extLst>
            </xdr:cNvPr>
            <xdr:cNvSpPr/>
          </xdr:nvSpPr>
          <xdr:spPr>
            <a:xfrm>
              <a:off x="0" y="0"/>
              <a:ext cx="2019300" cy="1028701"/>
            </a:xfrm>
            <a:prstGeom prst="roundRect">
              <a:avLst/>
            </a:prstGeom>
            <a:solidFill>
              <a:srgbClr val="C5D3FF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IN"/>
            </a:p>
          </xdr:txBody>
        </xdr:sp>
        <xdr:sp macro="" textlink="">
          <xdr:nvSpPr>
            <xdr:cNvPr id="32" name="TextBox 11">
              <a:extLst>
                <a:ext uri="{FF2B5EF4-FFF2-40B4-BE49-F238E27FC236}">
                  <a16:creationId xmlns:a16="http://schemas.microsoft.com/office/drawing/2014/main" id="{99C97959-99D3-417B-BE3C-153D5A9019F1}"/>
                </a:ext>
              </a:extLst>
            </xdr:cNvPr>
            <xdr:cNvSpPr txBox="1"/>
          </xdr:nvSpPr>
          <xdr:spPr>
            <a:xfrm>
              <a:off x="47625" y="209550"/>
              <a:ext cx="1943101" cy="609601"/>
            </a:xfrm>
            <a:prstGeom prst="rect">
              <a:avLst/>
            </a:prstGeom>
            <a:solidFill>
              <a:srgbClr val="C5D3FF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-IN" sz="1100" b="1" kern="100">
                  <a:solidFill>
                    <a:srgbClr val="000000"/>
                  </a:solidFill>
                  <a:effectLst/>
                  <a:latin typeface="Aptos Display" panose="020B0004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Average Recovery Rate (%)</a:t>
              </a:r>
              <a:br>
                <a:rPr lang="en-IN" sz="1100" b="1" kern="100">
                  <a:solidFill>
                    <a:srgbClr val="000000"/>
                  </a:solidFill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</a:br>
              <a:r>
                <a:rPr lang="en-IN" sz="2000" b="1" kern="100">
                  <a:solidFill>
                    <a:srgbClr val="000000"/>
                  </a:solidFill>
                  <a:effectLst/>
                  <a:latin typeface="Aptos Display" panose="020B0004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57.45</a:t>
              </a:r>
              <a:endParaRPr lang="en-IN" sz="1100" kern="100">
                <a:effectLst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FD9BFB99-EF32-477E-E77B-694EE8902018}"/>
              </a:ext>
            </a:extLst>
          </xdr:cNvPr>
          <xdr:cNvGrpSpPr/>
        </xdr:nvGrpSpPr>
        <xdr:grpSpPr>
          <a:xfrm>
            <a:off x="9391650" y="19050"/>
            <a:ext cx="1905000" cy="1028700"/>
            <a:chOff x="0" y="0"/>
            <a:chExt cx="1905000" cy="1028700"/>
          </a:xfrm>
        </xdr:grpSpPr>
        <xdr:sp macro="" textlink="">
          <xdr:nvSpPr>
            <xdr:cNvPr id="29" name="Rectangle: Rounded Corners 28">
              <a:extLst>
                <a:ext uri="{FF2B5EF4-FFF2-40B4-BE49-F238E27FC236}">
                  <a16:creationId xmlns:a16="http://schemas.microsoft.com/office/drawing/2014/main" id="{75E1B695-8D96-485B-9406-23908BC9F780}"/>
                </a:ext>
              </a:extLst>
            </xdr:cNvPr>
            <xdr:cNvSpPr/>
          </xdr:nvSpPr>
          <xdr:spPr>
            <a:xfrm>
              <a:off x="0" y="0"/>
              <a:ext cx="1905000" cy="1028700"/>
            </a:xfrm>
            <a:prstGeom prst="roundRect">
              <a:avLst/>
            </a:prstGeom>
            <a:solidFill>
              <a:schemeClr val="accent2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IN"/>
            </a:p>
          </xdr:txBody>
        </xdr:sp>
        <xdr:sp macro="" textlink="">
          <xdr:nvSpPr>
            <xdr:cNvPr id="30" name="TextBox 12">
              <a:extLst>
                <a:ext uri="{FF2B5EF4-FFF2-40B4-BE49-F238E27FC236}">
                  <a16:creationId xmlns:a16="http://schemas.microsoft.com/office/drawing/2014/main" id="{6029EB52-1A55-4D6A-8120-5FEF8D2ADF06}"/>
                </a:ext>
              </a:extLst>
            </xdr:cNvPr>
            <xdr:cNvSpPr txBox="1"/>
          </xdr:nvSpPr>
          <xdr:spPr>
            <a:xfrm>
              <a:off x="28575" y="209550"/>
              <a:ext cx="1819276" cy="638174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-IN" sz="1100" b="1" kern="100">
                  <a:solidFill>
                    <a:srgbClr val="000000"/>
                  </a:solidFill>
                  <a:effectLst/>
                  <a:latin typeface="Aptos Display" panose="020B0004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Case Fatality Rate (%)</a:t>
              </a:r>
              <a:br>
                <a:rPr lang="en-IN" sz="1100" b="1" kern="100">
                  <a:solidFill>
                    <a:srgbClr val="000000"/>
                  </a:solidFill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</a:br>
              <a:r>
                <a:rPr lang="en-IN" sz="2000" b="1" kern="100">
                  <a:solidFill>
                    <a:srgbClr val="000000"/>
                  </a:solidFill>
                  <a:effectLst/>
                  <a:latin typeface="Aptos Display" panose="020B0004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3.96</a:t>
              </a:r>
              <a:endParaRPr lang="en-IN" sz="1100" kern="100">
                <a:effectLst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8.788894328703" createdVersion="8" refreshedVersion="8" minRefreshableVersion="3" recordCount="187" xr:uid="{2370D4C7-7037-4882-9140-C0991CB43F3E}">
  <cacheSource type="worksheet">
    <worksheetSource name="Table1"/>
  </cacheSource>
  <cacheFields count="15">
    <cacheField name="Country_Region" numFmtId="0">
      <sharedItems count="187">
        <s v="Afghanistan"/>
        <s v="Albania"/>
        <s v="Algeria"/>
        <s v="Andorra"/>
        <s v="Angola"/>
        <s v="Antigua and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"/>
        <s v="Bosnia and Herzegovina"/>
        <s v="Botswana"/>
        <s v="Brazil"/>
        <s v="Brunei"/>
        <s v="Bulgaria"/>
        <s v="Burkina Faso"/>
        <s v="Burma"/>
        <s v="Burundi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 (Brazzaville)"/>
        <s v="Congo (Kinshasa)"/>
        <s v="Costa Rica"/>
        <s v="Cote d'Ivoire"/>
        <s v="Croatia"/>
        <s v="Cuba"/>
        <s v="Cyprus"/>
        <s v="Czechia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iji"/>
        <s v="Finland"/>
        <s v="France"/>
        <s v="Gabon"/>
        <s v="Gambia"/>
        <s v="Georgia"/>
        <s v="Germany"/>
        <s v="Ghana"/>
        <s v="Greece"/>
        <s v="Greenland"/>
        <s v="Grenada"/>
        <s v="Guatemala"/>
        <s v="Guinea"/>
        <s v="Guinea-Bissau"/>
        <s v="Guyana"/>
        <s v="Haiti"/>
        <s v="Holy See"/>
        <s v="Honduras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osovo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uritania"/>
        <s v="Mauritius"/>
        <s v="Mexico"/>
        <s v="Moldova"/>
        <s v="Monaco"/>
        <s v="Mongolia"/>
        <s v="Montenegro"/>
        <s v="Morocco"/>
        <s v="Mozambique"/>
        <s v="Namibia"/>
        <s v="Nepal"/>
        <s v="Netherlands"/>
        <s v="New Zealand"/>
        <s v="Nicaragua"/>
        <s v="Niger"/>
        <s v="Nigeria"/>
        <s v="North Macedonia"/>
        <s v="Norway"/>
        <s v="Oman"/>
        <s v="Pakistan"/>
        <s v="Panama"/>
        <s v="Papua New Guinea"/>
        <s v="Paraguay"/>
        <s v="Peru"/>
        <s v="Philippines"/>
        <s v="Poland"/>
        <s v="Portugal"/>
        <s v="Qatar"/>
        <s v="Romania"/>
        <s v="Russia"/>
        <s v="Rwanda"/>
        <s v="Saint Kitts and Nevis"/>
        <s v="Saint Lucia"/>
        <s v="Saint Vincent and the Grenadines"/>
        <s v="San Marino"/>
        <s v="Sao Tome and Principe"/>
        <s v="Saudi Arabia"/>
        <s v="Senegal"/>
        <s v="Serbia"/>
        <s v="Seychelles"/>
        <s v="Sierra Leone"/>
        <s v="Singapore"/>
        <s v="Slovakia"/>
        <s v="Slovenia"/>
        <s v="Somalia"/>
        <s v="South Africa"/>
        <s v="South Korea"/>
        <s v="South Sudan"/>
        <s v="Spain"/>
        <s v="Sri Lanka"/>
        <s v="Sudan"/>
        <s v="Suriname"/>
        <s v="Sweden"/>
        <s v="Switzerland"/>
        <s v="Syria"/>
        <s v="Taiwan*"/>
        <s v="Tajikistan"/>
        <s v="Tanzania"/>
        <s v="Thailand"/>
        <s v="Timor-Leste"/>
        <s v="Togo"/>
        <s v="Trinidad and Tobago"/>
        <s v="Tunisia"/>
        <s v="Turkey"/>
        <s v="US"/>
        <s v="Uganda"/>
        <s v="Ukraine"/>
        <s v="United Arab Emirates"/>
        <s v="United Kingdom"/>
        <s v="Uruguay"/>
        <s v="Uzbekistan"/>
        <s v="Venezuela"/>
        <s v="Vietnam"/>
        <s v="West Bank and Gaza"/>
        <s v="Western Sahara"/>
        <s v="Yemen"/>
        <s v="Zambia"/>
        <s v="Zimbabwe"/>
      </sharedItems>
    </cacheField>
    <cacheField name="Confirmed" numFmtId="0">
      <sharedItems containsSemiMixedTypes="0" containsString="0" containsNumber="1" containsInteger="1" minValue="10" maxValue="4290259" count="184">
        <n v="36263"/>
        <n v="4880"/>
        <n v="27973"/>
        <n v="907"/>
        <n v="950"/>
        <n v="86"/>
        <n v="167416"/>
        <n v="37390"/>
        <n v="15303"/>
        <n v="20558"/>
        <n v="30446"/>
        <n v="382"/>
        <n v="39482"/>
        <n v="226225"/>
        <n v="110"/>
        <n v="67251"/>
        <n v="66428"/>
        <n v="48"/>
        <n v="1770"/>
        <n v="99"/>
        <n v="71181"/>
        <n v="10498"/>
        <n v="739"/>
        <n v="2442375"/>
        <n v="141"/>
        <n v="10621"/>
        <n v="1100"/>
        <n v="350"/>
        <n v="378"/>
        <n v="2328"/>
        <n v="226"/>
        <n v="17110"/>
        <n v="116458"/>
        <n v="4599"/>
        <n v="922"/>
        <n v="347923"/>
        <n v="86783"/>
        <n v="257101"/>
        <n v="354"/>
        <n v="3200"/>
        <n v="8844"/>
        <n v="15841"/>
        <n v="15655"/>
        <n v="4881"/>
        <n v="2532"/>
        <n v="1060"/>
        <n v="15516"/>
        <n v="13761"/>
        <n v="5059"/>
        <n v="18"/>
        <n v="64156"/>
        <n v="81161"/>
        <n v="92482"/>
        <n v="15035"/>
        <n v="3071"/>
        <n v="265"/>
        <n v="2034"/>
        <n v="2316"/>
        <n v="14547"/>
        <n v="27"/>
        <n v="7398"/>
        <n v="220352"/>
        <n v="7189"/>
        <n v="326"/>
        <n v="1137"/>
        <n v="207112"/>
        <n v="33624"/>
        <n v="4227"/>
        <n v="14"/>
        <n v="23"/>
        <n v="45309"/>
        <n v="7055"/>
        <n v="1954"/>
        <n v="389"/>
        <n v="7340"/>
        <n v="12"/>
        <n v="39741"/>
        <n v="4448"/>
        <n v="1854"/>
        <n v="1480073"/>
        <n v="100303"/>
        <n v="293606"/>
        <n v="112585"/>
        <n v="25892"/>
        <n v="63985"/>
        <n v="246286"/>
        <n v="853"/>
        <n v="31142"/>
        <n v="1176"/>
        <n v="84648"/>
        <n v="17975"/>
        <n v="7413"/>
        <n v="64379"/>
        <n v="33296"/>
        <n v="20"/>
        <n v="1219"/>
        <n v="3882"/>
        <n v="505"/>
        <n v="1167"/>
        <n v="2827"/>
        <n v="2019"/>
        <n v="6321"/>
        <n v="9690"/>
        <n v="3664"/>
        <n v="8904"/>
        <n v="3369"/>
        <n v="2513"/>
        <n v="701"/>
        <n v="6208"/>
        <n v="344"/>
        <n v="395489"/>
        <n v="23154"/>
        <n v="116"/>
        <n v="289"/>
        <n v="2893"/>
        <n v="20887"/>
        <n v="1701"/>
        <n v="1843"/>
        <n v="18752"/>
        <n v="53413"/>
        <n v="1557"/>
        <n v="3439"/>
        <n v="1132"/>
        <n v="41180"/>
        <n v="10213"/>
        <n v="9132"/>
        <n v="77058"/>
        <n v="274289"/>
        <n v="61442"/>
        <n v="62"/>
        <n v="4548"/>
        <n v="389717"/>
        <n v="82040"/>
        <n v="43402"/>
        <n v="50299"/>
        <n v="109597"/>
        <n v="45902"/>
        <n v="816680"/>
        <n v="1879"/>
        <n v="17"/>
        <n v="24"/>
        <n v="52"/>
        <n v="699"/>
        <n v="865"/>
        <n v="268934"/>
        <n v="9764"/>
        <n v="24141"/>
        <n v="114"/>
        <n v="1783"/>
        <n v="50838"/>
        <n v="2181"/>
        <n v="2087"/>
        <n v="3196"/>
        <n v="452529"/>
        <n v="14203"/>
        <n v="2305"/>
        <n v="272421"/>
        <n v="2805"/>
        <n v="11424"/>
        <n v="1483"/>
        <n v="79395"/>
        <n v="34477"/>
        <n v="674"/>
        <n v="462"/>
        <n v="7235"/>
        <n v="509"/>
        <n v="3297"/>
        <n v="874"/>
        <n v="148"/>
        <n v="1455"/>
        <n v="227019"/>
        <n v="4290259"/>
        <n v="1128"/>
        <n v="67096"/>
        <n v="59177"/>
        <n v="301708"/>
        <n v="1202"/>
        <n v="21209"/>
        <n v="15988"/>
        <n v="431"/>
        <n v="10"/>
        <n v="1691"/>
        <n v="4552"/>
        <n v="2704"/>
      </sharedItems>
    </cacheField>
    <cacheField name="Deaths" numFmtId="0">
      <sharedItems containsSemiMixedTypes="0" containsString="0" containsNumber="1" containsInteger="1" minValue="0" maxValue="148011"/>
    </cacheField>
    <cacheField name="Recovered" numFmtId="0">
      <sharedItems containsSemiMixedTypes="0" containsString="0" containsNumber="1" containsInteger="1" minValue="0" maxValue="1846641"/>
    </cacheField>
    <cacheField name="Active" numFmtId="0">
      <sharedItems containsSemiMixedTypes="0" containsString="0" containsNumber="1" containsInteger="1" minValue="0" maxValue="2816444"/>
    </cacheField>
    <cacheField name="New_cases" numFmtId="0">
      <sharedItems containsSemiMixedTypes="0" containsString="0" containsNumber="1" containsInteger="1" minValue="0" maxValue="56336"/>
    </cacheField>
    <cacheField name="New_deaths" numFmtId="0">
      <sharedItems containsSemiMixedTypes="0" containsString="0" containsNumber="1" containsInteger="1" minValue="0" maxValue="1076"/>
    </cacheField>
    <cacheField name="New_recovered" numFmtId="0">
      <sharedItems containsSemiMixedTypes="0" containsString="0" containsNumber="1" containsInteger="1" minValue="0" maxValue="33728"/>
    </cacheField>
    <cacheField name="Deaths___100_Cases" numFmtId="0">
      <sharedItems containsSemiMixedTypes="0" containsString="0" containsNumber="1" minValue="0" maxValue="28.56"/>
    </cacheField>
    <cacheField name="Recovered___100_Cases" numFmtId="0">
      <sharedItems containsSemiMixedTypes="0" containsString="0" containsNumber="1" minValue="0" maxValue="100"/>
    </cacheField>
    <cacheField name="Deaths___100_Recovered" numFmtId="0">
      <sharedItems containsMixedTypes="1" containsNumber="1" minValue="0" maxValue="3259.26"/>
    </cacheField>
    <cacheField name="Confirmed_last_week" numFmtId="0">
      <sharedItems containsSemiMixedTypes="0" containsString="0" containsNumber="1" containsInteger="1" minValue="10" maxValue="3834677"/>
    </cacheField>
    <cacheField name="1_week_change" numFmtId="0">
      <sharedItems containsSemiMixedTypes="0" containsString="0" containsNumber="1" containsInteger="1" minValue="-47" maxValue="455582"/>
    </cacheField>
    <cacheField name="1_week_pct_increase" numFmtId="0">
      <sharedItems containsSemiMixedTypes="0" containsString="0" containsNumber="1" minValue="-3.84" maxValue="226.32"/>
    </cacheField>
    <cacheField name="WHO_Region" numFmtId="0">
      <sharedItems count="6">
        <s v="Eastern Mediterranean"/>
        <s v="Europe"/>
        <s v="Africa"/>
        <s v="Americas"/>
        <s v="Western Pacific"/>
        <s v="South-East As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x v="0"/>
    <x v="0"/>
    <n v="1269"/>
    <n v="25198"/>
    <n v="9796"/>
    <n v="106"/>
    <n v="10"/>
    <n v="18"/>
    <n v="3.5"/>
    <n v="69.489999999999995"/>
    <n v="5.04"/>
    <n v="35526"/>
    <n v="737"/>
    <n v="2.0699999999999998"/>
    <x v="0"/>
  </r>
  <r>
    <x v="1"/>
    <x v="1"/>
    <n v="144"/>
    <n v="2745"/>
    <n v="1991"/>
    <n v="117"/>
    <n v="6"/>
    <n v="63"/>
    <n v="2.95"/>
    <n v="56.25"/>
    <n v="5.25"/>
    <n v="4171"/>
    <n v="709"/>
    <n v="17"/>
    <x v="1"/>
  </r>
  <r>
    <x v="2"/>
    <x v="2"/>
    <n v="1163"/>
    <n v="18837"/>
    <n v="7973"/>
    <n v="616"/>
    <n v="8"/>
    <n v="749"/>
    <n v="4.16"/>
    <n v="67.34"/>
    <n v="6.17"/>
    <n v="23691"/>
    <n v="4282"/>
    <n v="18.07"/>
    <x v="2"/>
  </r>
  <r>
    <x v="3"/>
    <x v="3"/>
    <n v="52"/>
    <n v="803"/>
    <n v="52"/>
    <n v="10"/>
    <n v="0"/>
    <n v="0"/>
    <n v="5.73"/>
    <n v="88.53"/>
    <n v="6.48"/>
    <n v="884"/>
    <n v="23"/>
    <n v="2.6"/>
    <x v="1"/>
  </r>
  <r>
    <x v="4"/>
    <x v="4"/>
    <n v="41"/>
    <n v="242"/>
    <n v="667"/>
    <n v="18"/>
    <n v="1"/>
    <n v="0"/>
    <n v="4.32"/>
    <n v="25.47"/>
    <n v="16.940000000000001"/>
    <n v="749"/>
    <n v="201"/>
    <n v="26.84"/>
    <x v="2"/>
  </r>
  <r>
    <x v="5"/>
    <x v="5"/>
    <n v="3"/>
    <n v="65"/>
    <n v="18"/>
    <n v="4"/>
    <n v="0"/>
    <n v="5"/>
    <n v="3.49"/>
    <n v="75.58"/>
    <n v="4.62"/>
    <n v="76"/>
    <n v="10"/>
    <n v="13.16"/>
    <x v="3"/>
  </r>
  <r>
    <x v="6"/>
    <x v="6"/>
    <n v="3059"/>
    <n v="72575"/>
    <n v="91782"/>
    <n v="4890"/>
    <n v="120"/>
    <n v="2057"/>
    <n v="1.83"/>
    <n v="43.35"/>
    <n v="4.21"/>
    <n v="130774"/>
    <n v="36642"/>
    <n v="28.02"/>
    <x v="3"/>
  </r>
  <r>
    <x v="7"/>
    <x v="7"/>
    <n v="711"/>
    <n v="26665"/>
    <n v="10014"/>
    <n v="73"/>
    <n v="6"/>
    <n v="187"/>
    <n v="1.9"/>
    <n v="71.319999999999993"/>
    <n v="2.67"/>
    <n v="34981"/>
    <n v="2409"/>
    <n v="6.89"/>
    <x v="1"/>
  </r>
  <r>
    <x v="8"/>
    <x v="8"/>
    <n v="167"/>
    <n v="9311"/>
    <n v="5825"/>
    <n v="368"/>
    <n v="6"/>
    <n v="137"/>
    <n v="1.0900000000000001"/>
    <n v="60.84"/>
    <n v="1.79"/>
    <n v="12428"/>
    <n v="2875"/>
    <n v="23.13"/>
    <x v="4"/>
  </r>
  <r>
    <x v="9"/>
    <x v="9"/>
    <n v="713"/>
    <n v="18246"/>
    <n v="1599"/>
    <n v="86"/>
    <n v="1"/>
    <n v="37"/>
    <n v="3.47"/>
    <n v="88.75"/>
    <n v="3.91"/>
    <n v="19743"/>
    <n v="815"/>
    <n v="4.13"/>
    <x v="1"/>
  </r>
  <r>
    <x v="10"/>
    <x v="10"/>
    <n v="423"/>
    <n v="23242"/>
    <n v="6781"/>
    <n v="396"/>
    <n v="6"/>
    <n v="558"/>
    <n v="1.39"/>
    <n v="76.34"/>
    <n v="1.82"/>
    <n v="27890"/>
    <n v="2556"/>
    <n v="9.16"/>
    <x v="1"/>
  </r>
  <r>
    <x v="11"/>
    <x v="11"/>
    <n v="11"/>
    <n v="91"/>
    <n v="280"/>
    <n v="40"/>
    <n v="0"/>
    <n v="0"/>
    <n v="2.88"/>
    <n v="23.82"/>
    <n v="12.09"/>
    <n v="174"/>
    <n v="208"/>
    <n v="119.54"/>
    <x v="3"/>
  </r>
  <r>
    <x v="12"/>
    <x v="12"/>
    <n v="141"/>
    <n v="36110"/>
    <n v="3231"/>
    <n v="351"/>
    <n v="1"/>
    <n v="421"/>
    <n v="0.36"/>
    <n v="91.46"/>
    <n v="0.39"/>
    <n v="36936"/>
    <n v="2546"/>
    <n v="6.89"/>
    <x v="0"/>
  </r>
  <r>
    <x v="13"/>
    <x v="13"/>
    <n v="2965"/>
    <n v="125683"/>
    <n v="97577"/>
    <n v="2772"/>
    <n v="37"/>
    <n v="1801"/>
    <n v="1.31"/>
    <n v="55.56"/>
    <n v="2.36"/>
    <n v="207453"/>
    <n v="18772"/>
    <n v="9.0500000000000007"/>
    <x v="5"/>
  </r>
  <r>
    <x v="14"/>
    <x v="14"/>
    <n v="7"/>
    <n v="94"/>
    <n v="9"/>
    <n v="0"/>
    <n v="0"/>
    <n v="0"/>
    <n v="6.36"/>
    <n v="85.45"/>
    <n v="7.45"/>
    <n v="106"/>
    <n v="4"/>
    <n v="3.77"/>
    <x v="3"/>
  </r>
  <r>
    <x v="15"/>
    <x v="15"/>
    <n v="538"/>
    <n v="60492"/>
    <n v="6221"/>
    <n v="119"/>
    <n v="4"/>
    <n v="67"/>
    <n v="0.8"/>
    <n v="89.95"/>
    <n v="0.89"/>
    <n v="66213"/>
    <n v="1038"/>
    <n v="1.57"/>
    <x v="1"/>
  </r>
  <r>
    <x v="16"/>
    <x v="16"/>
    <n v="9822"/>
    <n v="17452"/>
    <n v="39154"/>
    <n v="402"/>
    <n v="1"/>
    <n v="14"/>
    <n v="14.79"/>
    <n v="26.27"/>
    <n v="56.28"/>
    <n v="64094"/>
    <n v="2334"/>
    <n v="3.64"/>
    <x v="1"/>
  </r>
  <r>
    <x v="17"/>
    <x v="17"/>
    <n v="2"/>
    <n v="26"/>
    <n v="20"/>
    <n v="0"/>
    <n v="0"/>
    <n v="0"/>
    <n v="4.17"/>
    <n v="54.17"/>
    <n v="7.69"/>
    <n v="40"/>
    <n v="8"/>
    <n v="20"/>
    <x v="3"/>
  </r>
  <r>
    <x v="18"/>
    <x v="18"/>
    <n v="35"/>
    <n v="1036"/>
    <n v="699"/>
    <n v="0"/>
    <n v="0"/>
    <n v="0"/>
    <n v="1.98"/>
    <n v="58.53"/>
    <n v="3.38"/>
    <n v="1602"/>
    <n v="168"/>
    <n v="10.49"/>
    <x v="2"/>
  </r>
  <r>
    <x v="19"/>
    <x v="19"/>
    <n v="0"/>
    <n v="86"/>
    <n v="13"/>
    <n v="4"/>
    <n v="0"/>
    <n v="1"/>
    <n v="0"/>
    <n v="86.87"/>
    <n v="0"/>
    <n v="90"/>
    <n v="9"/>
    <n v="10"/>
    <x v="5"/>
  </r>
  <r>
    <x v="20"/>
    <x v="20"/>
    <n v="2647"/>
    <n v="21478"/>
    <n v="47056"/>
    <n v="1752"/>
    <n v="64"/>
    <n v="309"/>
    <n v="3.72"/>
    <n v="30.17"/>
    <n v="12.32"/>
    <n v="60991"/>
    <n v="10190"/>
    <n v="16.71"/>
    <x v="3"/>
  </r>
  <r>
    <x v="21"/>
    <x v="21"/>
    <n v="294"/>
    <n v="4930"/>
    <n v="5274"/>
    <n v="731"/>
    <n v="14"/>
    <n v="375"/>
    <n v="2.8"/>
    <n v="46.96"/>
    <n v="5.96"/>
    <n v="8479"/>
    <n v="2019"/>
    <n v="23.81"/>
    <x v="1"/>
  </r>
  <r>
    <x v="22"/>
    <x v="22"/>
    <n v="2"/>
    <n v="63"/>
    <n v="674"/>
    <n v="53"/>
    <n v="1"/>
    <n v="11"/>
    <n v="0.27"/>
    <n v="8.5299999999999994"/>
    <n v="3.17"/>
    <n v="522"/>
    <n v="217"/>
    <n v="41.57"/>
    <x v="2"/>
  </r>
  <r>
    <x v="23"/>
    <x v="23"/>
    <n v="87618"/>
    <n v="1846641"/>
    <n v="508116"/>
    <n v="23284"/>
    <n v="614"/>
    <n v="33728"/>
    <n v="3.59"/>
    <n v="75.61"/>
    <n v="4.74"/>
    <n v="2118646"/>
    <n v="323729"/>
    <n v="15.28"/>
    <x v="3"/>
  </r>
  <r>
    <x v="24"/>
    <x v="24"/>
    <n v="3"/>
    <n v="138"/>
    <n v="0"/>
    <n v="0"/>
    <n v="0"/>
    <n v="0"/>
    <n v="2.13"/>
    <n v="97.87"/>
    <n v="2.17"/>
    <n v="141"/>
    <n v="0"/>
    <n v="0"/>
    <x v="4"/>
  </r>
  <r>
    <x v="25"/>
    <x v="25"/>
    <n v="347"/>
    <n v="5585"/>
    <n v="4689"/>
    <n v="194"/>
    <n v="7"/>
    <n v="230"/>
    <n v="3.27"/>
    <n v="52.58"/>
    <n v="6.21"/>
    <n v="8929"/>
    <n v="1692"/>
    <n v="18.95"/>
    <x v="1"/>
  </r>
  <r>
    <x v="26"/>
    <x v="26"/>
    <n v="53"/>
    <n v="926"/>
    <n v="121"/>
    <n v="14"/>
    <n v="0"/>
    <n v="6"/>
    <n v="4.82"/>
    <n v="84.18"/>
    <n v="5.72"/>
    <n v="1065"/>
    <n v="35"/>
    <n v="3.29"/>
    <x v="2"/>
  </r>
  <r>
    <x v="27"/>
    <x v="27"/>
    <n v="6"/>
    <n v="292"/>
    <n v="52"/>
    <n v="0"/>
    <n v="0"/>
    <n v="2"/>
    <n v="1.71"/>
    <n v="83.43"/>
    <n v="2.0499999999999998"/>
    <n v="341"/>
    <n v="9"/>
    <n v="2.64"/>
    <x v="5"/>
  </r>
  <r>
    <x v="28"/>
    <x v="28"/>
    <n v="1"/>
    <n v="301"/>
    <n v="76"/>
    <n v="17"/>
    <n v="0"/>
    <n v="22"/>
    <n v="0.26"/>
    <n v="79.63"/>
    <n v="0.33"/>
    <n v="322"/>
    <n v="56"/>
    <n v="17.39"/>
    <x v="2"/>
  </r>
  <r>
    <x v="29"/>
    <x v="29"/>
    <n v="22"/>
    <n v="1550"/>
    <n v="756"/>
    <n v="21"/>
    <n v="0"/>
    <n v="103"/>
    <n v="0.95"/>
    <n v="66.58"/>
    <n v="1.42"/>
    <n v="2071"/>
    <n v="257"/>
    <n v="12.41"/>
    <x v="2"/>
  </r>
  <r>
    <x v="30"/>
    <x v="30"/>
    <n v="0"/>
    <n v="147"/>
    <n v="79"/>
    <n v="1"/>
    <n v="0"/>
    <n v="4"/>
    <n v="0"/>
    <n v="65.040000000000006"/>
    <n v="0"/>
    <n v="171"/>
    <n v="55"/>
    <n v="32.159999999999997"/>
    <x v="4"/>
  </r>
  <r>
    <x v="31"/>
    <x v="31"/>
    <n v="391"/>
    <n v="14539"/>
    <n v="2180"/>
    <n v="402"/>
    <n v="6"/>
    <n v="0"/>
    <n v="2.29"/>
    <n v="84.97"/>
    <n v="2.69"/>
    <n v="16157"/>
    <n v="953"/>
    <n v="5.9"/>
    <x v="2"/>
  </r>
  <r>
    <x v="32"/>
    <x v="32"/>
    <n v="8944"/>
    <n v="0"/>
    <n v="107514"/>
    <n v="682"/>
    <n v="11"/>
    <n v="0"/>
    <n v="7.68"/>
    <n v="0"/>
    <s v="inf"/>
    <n v="112925"/>
    <n v="3533"/>
    <n v="3.13"/>
    <x v="3"/>
  </r>
  <r>
    <x v="33"/>
    <x v="33"/>
    <n v="59"/>
    <n v="1546"/>
    <n v="2994"/>
    <n v="0"/>
    <n v="0"/>
    <n v="0"/>
    <n v="1.28"/>
    <n v="33.619999999999997"/>
    <n v="3.82"/>
    <n v="4548"/>
    <n v="51"/>
    <n v="1.1200000000000001"/>
    <x v="2"/>
  </r>
  <r>
    <x v="34"/>
    <x v="34"/>
    <n v="75"/>
    <n v="810"/>
    <n v="37"/>
    <n v="7"/>
    <n v="0"/>
    <n v="0"/>
    <n v="8.1300000000000008"/>
    <n v="87.85"/>
    <n v="9.26"/>
    <n v="889"/>
    <n v="33"/>
    <n v="3.71"/>
    <x v="2"/>
  </r>
  <r>
    <x v="35"/>
    <x v="35"/>
    <n v="9187"/>
    <n v="319954"/>
    <n v="18782"/>
    <n v="2133"/>
    <n v="75"/>
    <n v="1859"/>
    <n v="2.64"/>
    <n v="91.96"/>
    <n v="2.87"/>
    <n v="333029"/>
    <n v="14894"/>
    <n v="4.47"/>
    <x v="3"/>
  </r>
  <r>
    <x v="36"/>
    <x v="36"/>
    <n v="4656"/>
    <n v="78869"/>
    <n v="3258"/>
    <n v="213"/>
    <n v="4"/>
    <n v="7"/>
    <n v="5.37"/>
    <n v="90.88"/>
    <n v="5.9"/>
    <n v="85622"/>
    <n v="1161"/>
    <n v="1.36"/>
    <x v="4"/>
  </r>
  <r>
    <x v="37"/>
    <x v="37"/>
    <n v="8777"/>
    <n v="131161"/>
    <n v="117163"/>
    <n v="16306"/>
    <n v="508"/>
    <n v="11494"/>
    <n v="3.41"/>
    <n v="51.02"/>
    <n v="6.69"/>
    <n v="204005"/>
    <n v="53096"/>
    <n v="26.03"/>
    <x v="3"/>
  </r>
  <r>
    <x v="38"/>
    <x v="38"/>
    <n v="7"/>
    <n v="328"/>
    <n v="19"/>
    <n v="0"/>
    <n v="0"/>
    <n v="0"/>
    <n v="1.98"/>
    <n v="92.66"/>
    <n v="2.13"/>
    <n v="334"/>
    <n v="20"/>
    <n v="5.99"/>
    <x v="2"/>
  </r>
  <r>
    <x v="39"/>
    <x v="39"/>
    <n v="54"/>
    <n v="829"/>
    <n v="2317"/>
    <n v="162"/>
    <n v="3"/>
    <n v="73"/>
    <n v="1.69"/>
    <n v="25.91"/>
    <n v="6.51"/>
    <n v="2851"/>
    <n v="349"/>
    <n v="12.24"/>
    <x v="2"/>
  </r>
  <r>
    <x v="40"/>
    <x v="40"/>
    <n v="208"/>
    <n v="5700"/>
    <n v="2936"/>
    <n v="13"/>
    <n v="4"/>
    <n v="190"/>
    <n v="2.35"/>
    <n v="64.45"/>
    <n v="3.65"/>
    <n v="8443"/>
    <n v="401"/>
    <n v="4.75"/>
    <x v="2"/>
  </r>
  <r>
    <x v="41"/>
    <x v="41"/>
    <n v="115"/>
    <n v="3824"/>
    <n v="11902"/>
    <n v="612"/>
    <n v="11"/>
    <n v="88"/>
    <n v="0.73"/>
    <n v="24.14"/>
    <n v="3.01"/>
    <n v="11534"/>
    <n v="4307"/>
    <n v="37.340000000000003"/>
    <x v="3"/>
  </r>
  <r>
    <x v="42"/>
    <x v="42"/>
    <n v="96"/>
    <n v="10361"/>
    <n v="5198"/>
    <n v="59"/>
    <n v="0"/>
    <n v="183"/>
    <n v="0.61"/>
    <n v="66.180000000000007"/>
    <n v="0.93"/>
    <n v="14312"/>
    <n v="1343"/>
    <n v="9.3800000000000008"/>
    <x v="2"/>
  </r>
  <r>
    <x v="43"/>
    <x v="43"/>
    <n v="139"/>
    <n v="3936"/>
    <n v="806"/>
    <n v="24"/>
    <n v="3"/>
    <n v="70"/>
    <n v="2.85"/>
    <n v="80.64"/>
    <n v="3.53"/>
    <n v="4370"/>
    <n v="511"/>
    <n v="11.69"/>
    <x v="1"/>
  </r>
  <r>
    <x v="44"/>
    <x v="44"/>
    <n v="87"/>
    <n v="2351"/>
    <n v="94"/>
    <n v="37"/>
    <n v="0"/>
    <n v="2"/>
    <n v="3.44"/>
    <n v="92.85"/>
    <n v="3.7"/>
    <n v="2446"/>
    <n v="86"/>
    <n v="3.52"/>
    <x v="3"/>
  </r>
  <r>
    <x v="45"/>
    <x v="45"/>
    <n v="19"/>
    <n v="852"/>
    <n v="189"/>
    <n v="3"/>
    <n v="0"/>
    <n v="0"/>
    <n v="1.79"/>
    <n v="80.38"/>
    <n v="2.23"/>
    <n v="1038"/>
    <n v="22"/>
    <n v="2.12"/>
    <x v="1"/>
  </r>
  <r>
    <x v="46"/>
    <x v="46"/>
    <n v="373"/>
    <n v="11428"/>
    <n v="3715"/>
    <n v="192"/>
    <n v="2"/>
    <n v="0"/>
    <n v="2.4"/>
    <n v="73.650000000000006"/>
    <n v="3.26"/>
    <n v="14098"/>
    <n v="1418"/>
    <n v="10.06"/>
    <x v="1"/>
  </r>
  <r>
    <x v="47"/>
    <x v="47"/>
    <n v="613"/>
    <n v="12605"/>
    <n v="543"/>
    <n v="109"/>
    <n v="0"/>
    <n v="77"/>
    <n v="4.45"/>
    <n v="91.6"/>
    <n v="4.8600000000000003"/>
    <n v="13453"/>
    <n v="308"/>
    <n v="2.29"/>
    <x v="1"/>
  </r>
  <r>
    <x v="48"/>
    <x v="48"/>
    <n v="58"/>
    <n v="4977"/>
    <n v="24"/>
    <n v="9"/>
    <n v="0"/>
    <n v="11"/>
    <n v="1.1499999999999999"/>
    <n v="98.38"/>
    <n v="1.17"/>
    <n v="5020"/>
    <n v="39"/>
    <n v="0.78"/>
    <x v="0"/>
  </r>
  <r>
    <x v="49"/>
    <x v="49"/>
    <n v="0"/>
    <n v="18"/>
    <n v="0"/>
    <n v="0"/>
    <n v="0"/>
    <n v="0"/>
    <n v="0"/>
    <n v="100"/>
    <n v="0"/>
    <n v="18"/>
    <n v="0"/>
    <n v="0"/>
    <x v="3"/>
  </r>
  <r>
    <x v="50"/>
    <x v="50"/>
    <n v="1083"/>
    <n v="30204"/>
    <n v="32869"/>
    <n v="1248"/>
    <n v="20"/>
    <n v="1601"/>
    <n v="1.69"/>
    <n v="47.08"/>
    <n v="3.59"/>
    <n v="53956"/>
    <n v="10200"/>
    <n v="18.899999999999999"/>
    <x v="3"/>
  </r>
  <r>
    <x v="51"/>
    <x v="51"/>
    <n v="5532"/>
    <n v="34896"/>
    <n v="40733"/>
    <n v="467"/>
    <n v="17"/>
    <n v="0"/>
    <n v="6.82"/>
    <n v="43"/>
    <n v="15.85"/>
    <n v="74620"/>
    <n v="6541"/>
    <n v="8.77"/>
    <x v="3"/>
  </r>
  <r>
    <x v="52"/>
    <x v="52"/>
    <n v="4652"/>
    <n v="34838"/>
    <n v="52992"/>
    <n v="420"/>
    <n v="46"/>
    <n v="1007"/>
    <n v="5.03"/>
    <n v="37.67"/>
    <n v="13.35"/>
    <n v="88402"/>
    <n v="4080"/>
    <n v="4.62"/>
    <x v="0"/>
  </r>
  <r>
    <x v="53"/>
    <x v="53"/>
    <n v="408"/>
    <n v="7778"/>
    <n v="6849"/>
    <n v="405"/>
    <n v="8"/>
    <n v="130"/>
    <n v="2.71"/>
    <n v="51.73"/>
    <n v="5.25"/>
    <n v="12207"/>
    <n v="2828"/>
    <n v="23.17"/>
    <x v="3"/>
  </r>
  <r>
    <x v="54"/>
    <x v="54"/>
    <n v="51"/>
    <n v="842"/>
    <n v="2178"/>
    <n v="0"/>
    <n v="0"/>
    <n v="0"/>
    <n v="1.66"/>
    <n v="27.42"/>
    <n v="6.06"/>
    <n v="3071"/>
    <n v="0"/>
    <n v="0"/>
    <x v="2"/>
  </r>
  <r>
    <x v="55"/>
    <x v="55"/>
    <n v="0"/>
    <n v="191"/>
    <n v="74"/>
    <n v="2"/>
    <n v="0"/>
    <n v="2"/>
    <n v="0"/>
    <n v="72.08"/>
    <n v="0"/>
    <n v="251"/>
    <n v="14"/>
    <n v="5.58"/>
    <x v="2"/>
  </r>
  <r>
    <x v="56"/>
    <x v="56"/>
    <n v="69"/>
    <n v="1923"/>
    <n v="42"/>
    <n v="0"/>
    <n v="0"/>
    <n v="1"/>
    <n v="3.39"/>
    <n v="94.54"/>
    <n v="3.59"/>
    <n v="2021"/>
    <n v="13"/>
    <n v="0.64"/>
    <x v="1"/>
  </r>
  <r>
    <x v="57"/>
    <x v="57"/>
    <n v="34"/>
    <n v="1025"/>
    <n v="1257"/>
    <n v="109"/>
    <n v="2"/>
    <n v="39"/>
    <n v="1.47"/>
    <n v="44.26"/>
    <n v="3.32"/>
    <n v="1826"/>
    <n v="490"/>
    <n v="26.83"/>
    <x v="2"/>
  </r>
  <r>
    <x v="58"/>
    <x v="58"/>
    <n v="228"/>
    <n v="6386"/>
    <n v="7933"/>
    <n v="579"/>
    <n v="5"/>
    <n v="170"/>
    <n v="1.57"/>
    <n v="43.9"/>
    <n v="3.57"/>
    <n v="10207"/>
    <n v="4340"/>
    <n v="42.52"/>
    <x v="2"/>
  </r>
  <r>
    <x v="59"/>
    <x v="59"/>
    <n v="0"/>
    <n v="18"/>
    <n v="9"/>
    <n v="0"/>
    <n v="0"/>
    <n v="0"/>
    <n v="0"/>
    <n v="66.67"/>
    <n v="0"/>
    <n v="27"/>
    <n v="0"/>
    <n v="0"/>
    <x v="4"/>
  </r>
  <r>
    <x v="60"/>
    <x v="60"/>
    <n v="329"/>
    <n v="6920"/>
    <n v="149"/>
    <n v="5"/>
    <n v="0"/>
    <n v="0"/>
    <n v="4.45"/>
    <n v="93.54"/>
    <n v="4.75"/>
    <n v="7340"/>
    <n v="58"/>
    <n v="0.79"/>
    <x v="1"/>
  </r>
  <r>
    <x v="61"/>
    <x v="61"/>
    <n v="30212"/>
    <n v="81212"/>
    <n v="108928"/>
    <n v="2551"/>
    <n v="17"/>
    <n v="267"/>
    <n v="13.71"/>
    <n v="36.86"/>
    <n v="37.200000000000003"/>
    <n v="214023"/>
    <n v="6329"/>
    <n v="2.96"/>
    <x v="1"/>
  </r>
  <r>
    <x v="62"/>
    <x v="62"/>
    <n v="49"/>
    <n v="4682"/>
    <n v="2458"/>
    <n v="205"/>
    <n v="0"/>
    <n v="219"/>
    <n v="0.68"/>
    <n v="65.13"/>
    <n v="1.05"/>
    <n v="6433"/>
    <n v="756"/>
    <n v="11.75"/>
    <x v="2"/>
  </r>
  <r>
    <x v="63"/>
    <x v="63"/>
    <n v="8"/>
    <n v="66"/>
    <n v="252"/>
    <n v="49"/>
    <n v="2"/>
    <n v="6"/>
    <n v="2.4500000000000002"/>
    <n v="20.25"/>
    <n v="12.12"/>
    <n v="112"/>
    <n v="214"/>
    <n v="191.07"/>
    <x v="2"/>
  </r>
  <r>
    <x v="64"/>
    <x v="64"/>
    <n v="16"/>
    <n v="922"/>
    <n v="199"/>
    <n v="6"/>
    <n v="0"/>
    <n v="2"/>
    <n v="1.41"/>
    <n v="81.09"/>
    <n v="1.74"/>
    <n v="1039"/>
    <n v="98"/>
    <n v="9.43"/>
    <x v="1"/>
  </r>
  <r>
    <x v="65"/>
    <x v="65"/>
    <n v="9125"/>
    <n v="190314"/>
    <n v="7673"/>
    <n v="445"/>
    <n v="1"/>
    <n v="259"/>
    <n v="4.41"/>
    <n v="91.89"/>
    <n v="4.79"/>
    <n v="203325"/>
    <n v="3787"/>
    <n v="1.86"/>
    <x v="1"/>
  </r>
  <r>
    <x v="66"/>
    <x v="66"/>
    <n v="168"/>
    <n v="29801"/>
    <n v="3655"/>
    <n v="655"/>
    <n v="0"/>
    <n v="307"/>
    <n v="0.5"/>
    <n v="88.63"/>
    <n v="0.56000000000000005"/>
    <n v="28430"/>
    <n v="5194"/>
    <n v="18.27"/>
    <x v="2"/>
  </r>
  <r>
    <x v="67"/>
    <x v="67"/>
    <n v="202"/>
    <n v="1374"/>
    <n v="2651"/>
    <n v="34"/>
    <n v="0"/>
    <n v="0"/>
    <n v="4.78"/>
    <n v="32.51"/>
    <n v="14.7"/>
    <n v="4012"/>
    <n v="215"/>
    <n v="5.36"/>
    <x v="1"/>
  </r>
  <r>
    <x v="68"/>
    <x v="68"/>
    <n v="0"/>
    <n v="13"/>
    <n v="1"/>
    <n v="1"/>
    <n v="0"/>
    <n v="0"/>
    <n v="0"/>
    <n v="92.86"/>
    <n v="0"/>
    <n v="13"/>
    <n v="1"/>
    <n v="7.69"/>
    <x v="1"/>
  </r>
  <r>
    <x v="69"/>
    <x v="69"/>
    <n v="0"/>
    <n v="23"/>
    <n v="0"/>
    <n v="0"/>
    <n v="0"/>
    <n v="0"/>
    <n v="0"/>
    <n v="100"/>
    <n v="0"/>
    <n v="23"/>
    <n v="0"/>
    <n v="0"/>
    <x v="3"/>
  </r>
  <r>
    <x v="70"/>
    <x v="70"/>
    <n v="1761"/>
    <n v="32455"/>
    <n v="11093"/>
    <n v="256"/>
    <n v="27"/>
    <n v="843"/>
    <n v="3.89"/>
    <n v="71.63"/>
    <n v="5.43"/>
    <n v="39039"/>
    <n v="6270"/>
    <n v="16.059999999999999"/>
    <x v="3"/>
  </r>
  <r>
    <x v="71"/>
    <x v="71"/>
    <n v="45"/>
    <n v="6257"/>
    <n v="753"/>
    <n v="47"/>
    <n v="2"/>
    <n v="105"/>
    <n v="0.64"/>
    <n v="88.69"/>
    <n v="0.72"/>
    <n v="6590"/>
    <n v="465"/>
    <n v="7.06"/>
    <x v="2"/>
  </r>
  <r>
    <x v="72"/>
    <x v="72"/>
    <n v="26"/>
    <n v="803"/>
    <n v="1125"/>
    <n v="0"/>
    <n v="0"/>
    <n v="0"/>
    <n v="1.33"/>
    <n v="41.1"/>
    <n v="3.24"/>
    <n v="1949"/>
    <n v="5"/>
    <n v="0.26"/>
    <x v="2"/>
  </r>
  <r>
    <x v="73"/>
    <x v="73"/>
    <n v="20"/>
    <n v="181"/>
    <n v="188"/>
    <n v="19"/>
    <n v="0"/>
    <n v="0"/>
    <n v="5.14"/>
    <n v="46.53"/>
    <n v="11.05"/>
    <n v="337"/>
    <n v="52"/>
    <n v="15.43"/>
    <x v="3"/>
  </r>
  <r>
    <x v="74"/>
    <x v="74"/>
    <n v="158"/>
    <n v="4365"/>
    <n v="2817"/>
    <n v="25"/>
    <n v="1"/>
    <n v="0"/>
    <n v="2.15"/>
    <n v="59.47"/>
    <n v="3.62"/>
    <n v="7053"/>
    <n v="287"/>
    <n v="4.07"/>
    <x v="3"/>
  </r>
  <r>
    <x v="75"/>
    <x v="75"/>
    <n v="0"/>
    <n v="12"/>
    <n v="0"/>
    <n v="0"/>
    <n v="0"/>
    <n v="0"/>
    <n v="0"/>
    <n v="100"/>
    <n v="0"/>
    <n v="12"/>
    <n v="0"/>
    <n v="0"/>
    <x v="1"/>
  </r>
  <r>
    <x v="76"/>
    <x v="76"/>
    <n v="1166"/>
    <n v="5039"/>
    <n v="33536"/>
    <n v="465"/>
    <n v="50"/>
    <n v="117"/>
    <n v="2.93"/>
    <n v="12.68"/>
    <n v="23.14"/>
    <n v="34611"/>
    <n v="5130"/>
    <n v="14.82"/>
    <x v="3"/>
  </r>
  <r>
    <x v="77"/>
    <x v="77"/>
    <n v="596"/>
    <n v="3329"/>
    <n v="523"/>
    <n v="13"/>
    <n v="0"/>
    <n v="0"/>
    <n v="13.4"/>
    <n v="74.84"/>
    <n v="17.899999999999999"/>
    <n v="4339"/>
    <n v="109"/>
    <n v="2.5099999999999998"/>
    <x v="1"/>
  </r>
  <r>
    <x v="78"/>
    <x v="78"/>
    <n v="10"/>
    <n v="1823"/>
    <n v="21"/>
    <n v="7"/>
    <n v="0"/>
    <n v="0"/>
    <n v="0.54"/>
    <n v="98.33"/>
    <n v="0.55000000000000004"/>
    <n v="1839"/>
    <n v="15"/>
    <n v="0.82"/>
    <x v="1"/>
  </r>
  <r>
    <x v="79"/>
    <x v="79"/>
    <n v="33408"/>
    <n v="951166"/>
    <n v="495499"/>
    <n v="44457"/>
    <n v="637"/>
    <n v="33598"/>
    <n v="2.2599999999999998"/>
    <n v="64.260000000000005"/>
    <n v="3.51"/>
    <n v="1155338"/>
    <n v="324735"/>
    <n v="28.11"/>
    <x v="5"/>
  </r>
  <r>
    <x v="80"/>
    <x v="80"/>
    <n v="4838"/>
    <n v="58173"/>
    <n v="37292"/>
    <n v="1525"/>
    <n v="57"/>
    <n v="1518"/>
    <n v="4.82"/>
    <n v="58"/>
    <n v="8.32"/>
    <n v="88214"/>
    <n v="12089"/>
    <n v="13.7"/>
    <x v="5"/>
  </r>
  <r>
    <x v="81"/>
    <x v="81"/>
    <n v="15912"/>
    <n v="255144"/>
    <n v="22550"/>
    <n v="2434"/>
    <n v="212"/>
    <n v="1931"/>
    <n v="5.42"/>
    <n v="86.9"/>
    <n v="6.24"/>
    <n v="276202"/>
    <n v="17404"/>
    <n v="6.3"/>
    <x v="0"/>
  </r>
  <r>
    <x v="82"/>
    <x v="82"/>
    <n v="4458"/>
    <n v="77144"/>
    <n v="30983"/>
    <n v="2553"/>
    <n v="96"/>
    <n v="1927"/>
    <n v="3.96"/>
    <n v="68.52"/>
    <n v="5.78"/>
    <n v="94693"/>
    <n v="17892"/>
    <n v="18.89"/>
    <x v="0"/>
  </r>
  <r>
    <x v="83"/>
    <x v="83"/>
    <n v="1764"/>
    <n v="23364"/>
    <n v="764"/>
    <n v="11"/>
    <n v="0"/>
    <n v="0"/>
    <n v="6.81"/>
    <n v="90.24"/>
    <n v="7.55"/>
    <n v="25766"/>
    <n v="126"/>
    <n v="0.49"/>
    <x v="1"/>
  </r>
  <r>
    <x v="84"/>
    <x v="84"/>
    <n v="474"/>
    <n v="27133"/>
    <n v="36378"/>
    <n v="2029"/>
    <n v="4"/>
    <n v="108"/>
    <n v="0.74"/>
    <n v="42.41"/>
    <n v="1.75"/>
    <n v="52003"/>
    <n v="11982"/>
    <n v="23.04"/>
    <x v="1"/>
  </r>
  <r>
    <x v="85"/>
    <x v="85"/>
    <n v="35112"/>
    <n v="198593"/>
    <n v="12581"/>
    <n v="168"/>
    <n v="5"/>
    <n v="147"/>
    <n v="14.26"/>
    <n v="80.64"/>
    <n v="17.68"/>
    <n v="244624"/>
    <n v="1662"/>
    <n v="0.68"/>
    <x v="1"/>
  </r>
  <r>
    <x v="86"/>
    <x v="86"/>
    <n v="10"/>
    <n v="714"/>
    <n v="129"/>
    <n v="11"/>
    <n v="0"/>
    <n v="0"/>
    <n v="1.17"/>
    <n v="83.7"/>
    <n v="1.4"/>
    <n v="809"/>
    <n v="44"/>
    <n v="5.44"/>
    <x v="3"/>
  </r>
  <r>
    <x v="87"/>
    <x v="87"/>
    <n v="998"/>
    <n v="21970"/>
    <n v="8174"/>
    <n v="594"/>
    <n v="0"/>
    <n v="364"/>
    <n v="3.2"/>
    <n v="70.55"/>
    <n v="4.54"/>
    <n v="25706"/>
    <n v="5436"/>
    <n v="21.15"/>
    <x v="4"/>
  </r>
  <r>
    <x v="88"/>
    <x v="88"/>
    <n v="11"/>
    <n v="1041"/>
    <n v="124"/>
    <n v="8"/>
    <n v="0"/>
    <n v="0"/>
    <n v="0.94"/>
    <n v="88.52"/>
    <n v="1.06"/>
    <n v="1223"/>
    <n v="-47"/>
    <n v="-3.84"/>
    <x v="0"/>
  </r>
  <r>
    <x v="89"/>
    <x v="89"/>
    <n v="585"/>
    <n v="54404"/>
    <n v="29659"/>
    <n v="1526"/>
    <n v="0"/>
    <n v="1833"/>
    <n v="0.69"/>
    <n v="64.27"/>
    <n v="1.08"/>
    <n v="73468"/>
    <n v="11180"/>
    <n v="15.22"/>
    <x v="1"/>
  </r>
  <r>
    <x v="90"/>
    <x v="90"/>
    <n v="285"/>
    <n v="7833"/>
    <n v="9857"/>
    <n v="372"/>
    <n v="5"/>
    <n v="90"/>
    <n v="1.59"/>
    <n v="43.58"/>
    <n v="3.64"/>
    <n v="13771"/>
    <n v="4204"/>
    <n v="30.53"/>
    <x v="2"/>
  </r>
  <r>
    <x v="91"/>
    <x v="91"/>
    <n v="185"/>
    <n v="4027"/>
    <n v="3201"/>
    <n v="496"/>
    <n v="16"/>
    <n v="274"/>
    <n v="2.5"/>
    <n v="54.32"/>
    <n v="4.59"/>
    <n v="5877"/>
    <n v="1536"/>
    <n v="26.14"/>
    <x v="1"/>
  </r>
  <r>
    <x v="92"/>
    <x v="92"/>
    <n v="438"/>
    <n v="55057"/>
    <n v="8884"/>
    <n v="606"/>
    <n v="5"/>
    <n v="684"/>
    <n v="0.68"/>
    <n v="85.52"/>
    <n v="0.8"/>
    <n v="59763"/>
    <n v="4616"/>
    <n v="7.72"/>
    <x v="0"/>
  </r>
  <r>
    <x v="93"/>
    <x v="93"/>
    <n v="1301"/>
    <n v="21205"/>
    <n v="10790"/>
    <n v="483"/>
    <n v="24"/>
    <n v="817"/>
    <n v="3.91"/>
    <n v="63.69"/>
    <n v="6.14"/>
    <n v="27143"/>
    <n v="6153"/>
    <n v="22.67"/>
    <x v="1"/>
  </r>
  <r>
    <x v="94"/>
    <x v="94"/>
    <n v="0"/>
    <n v="19"/>
    <n v="1"/>
    <n v="0"/>
    <n v="0"/>
    <n v="0"/>
    <n v="0"/>
    <n v="95"/>
    <n v="0"/>
    <n v="19"/>
    <n v="1"/>
    <n v="5.26"/>
    <x v="4"/>
  </r>
  <r>
    <x v="95"/>
    <x v="95"/>
    <n v="31"/>
    <n v="1045"/>
    <n v="143"/>
    <n v="0"/>
    <n v="0"/>
    <n v="0"/>
    <n v="2.54"/>
    <n v="85.73"/>
    <n v="2.97"/>
    <n v="1192"/>
    <n v="27"/>
    <n v="2.27"/>
    <x v="1"/>
  </r>
  <r>
    <x v="96"/>
    <x v="96"/>
    <n v="51"/>
    <n v="1709"/>
    <n v="2122"/>
    <n v="132"/>
    <n v="0"/>
    <n v="17"/>
    <n v="1.31"/>
    <n v="44.02"/>
    <n v="2.98"/>
    <n v="2905"/>
    <n v="977"/>
    <n v="33.630000000000003"/>
    <x v="0"/>
  </r>
  <r>
    <x v="97"/>
    <x v="97"/>
    <n v="12"/>
    <n v="128"/>
    <n v="365"/>
    <n v="0"/>
    <n v="0"/>
    <n v="0"/>
    <n v="2.38"/>
    <n v="25.35"/>
    <n v="9.3800000000000008"/>
    <n v="359"/>
    <n v="146"/>
    <n v="40.67"/>
    <x v="2"/>
  </r>
  <r>
    <x v="98"/>
    <x v="98"/>
    <n v="72"/>
    <n v="646"/>
    <n v="449"/>
    <n v="5"/>
    <n v="0"/>
    <n v="5"/>
    <n v="6.17"/>
    <n v="55.36"/>
    <n v="11.15"/>
    <n v="1107"/>
    <n v="60"/>
    <n v="5.42"/>
    <x v="2"/>
  </r>
  <r>
    <x v="99"/>
    <x v="99"/>
    <n v="64"/>
    <n v="577"/>
    <n v="2186"/>
    <n v="158"/>
    <n v="4"/>
    <n v="24"/>
    <n v="2.2599999999999998"/>
    <n v="20.41"/>
    <n v="11.09"/>
    <n v="1980"/>
    <n v="847"/>
    <n v="42.78"/>
    <x v="0"/>
  </r>
  <r>
    <x v="100"/>
    <x v="5"/>
    <n v="1"/>
    <n v="81"/>
    <n v="4"/>
    <n v="0"/>
    <n v="0"/>
    <n v="0"/>
    <n v="1.1599999999999999"/>
    <n v="94.19"/>
    <n v="1.23"/>
    <n v="86"/>
    <n v="0"/>
    <n v="0"/>
    <x v="1"/>
  </r>
  <r>
    <x v="101"/>
    <x v="100"/>
    <n v="80"/>
    <n v="1620"/>
    <n v="319"/>
    <n v="11"/>
    <n v="0"/>
    <n v="4"/>
    <n v="3.96"/>
    <n v="80.239999999999995"/>
    <n v="4.9400000000000004"/>
    <n v="1947"/>
    <n v="72"/>
    <n v="3.7"/>
    <x v="1"/>
  </r>
  <r>
    <x v="102"/>
    <x v="101"/>
    <n v="112"/>
    <n v="4825"/>
    <n v="1384"/>
    <n v="49"/>
    <n v="0"/>
    <n v="178"/>
    <n v="1.77"/>
    <n v="76.33"/>
    <n v="2.3199999999999998"/>
    <n v="5639"/>
    <n v="682"/>
    <n v="12.09"/>
    <x v="1"/>
  </r>
  <r>
    <x v="103"/>
    <x v="102"/>
    <n v="91"/>
    <n v="6260"/>
    <n v="3339"/>
    <n v="395"/>
    <n v="6"/>
    <n v="681"/>
    <n v="0.94"/>
    <n v="64.599999999999994"/>
    <n v="1.45"/>
    <n v="7153"/>
    <n v="2537"/>
    <n v="35.47"/>
    <x v="2"/>
  </r>
  <r>
    <x v="104"/>
    <x v="103"/>
    <n v="99"/>
    <n v="1645"/>
    <n v="1920"/>
    <n v="24"/>
    <n v="0"/>
    <n v="6"/>
    <n v="2.7"/>
    <n v="44.9"/>
    <n v="6.02"/>
    <n v="2992"/>
    <n v="672"/>
    <n v="22.46"/>
    <x v="2"/>
  </r>
  <r>
    <x v="105"/>
    <x v="104"/>
    <n v="124"/>
    <n v="8601"/>
    <n v="179"/>
    <n v="7"/>
    <n v="0"/>
    <n v="1"/>
    <n v="1.39"/>
    <n v="96.6"/>
    <n v="1.44"/>
    <n v="8800"/>
    <n v="104"/>
    <n v="1.18"/>
    <x v="4"/>
  </r>
  <r>
    <x v="106"/>
    <x v="105"/>
    <n v="15"/>
    <n v="2547"/>
    <n v="807"/>
    <n v="67"/>
    <n v="0"/>
    <n v="19"/>
    <n v="0.45"/>
    <n v="75.599999999999994"/>
    <n v="0.59"/>
    <n v="2999"/>
    <n v="370"/>
    <n v="12.34"/>
    <x v="5"/>
  </r>
  <r>
    <x v="107"/>
    <x v="106"/>
    <n v="124"/>
    <n v="1913"/>
    <n v="476"/>
    <n v="3"/>
    <n v="1"/>
    <n v="2"/>
    <n v="4.93"/>
    <n v="76.12"/>
    <n v="6.48"/>
    <n v="2475"/>
    <n v="38"/>
    <n v="1.54"/>
    <x v="2"/>
  </r>
  <r>
    <x v="108"/>
    <x v="107"/>
    <n v="9"/>
    <n v="665"/>
    <n v="27"/>
    <n v="1"/>
    <n v="0"/>
    <n v="0"/>
    <n v="1.28"/>
    <n v="94.86"/>
    <n v="1.35"/>
    <n v="677"/>
    <n v="24"/>
    <n v="3.55"/>
    <x v="1"/>
  </r>
  <r>
    <x v="109"/>
    <x v="108"/>
    <n v="156"/>
    <n v="4653"/>
    <n v="1399"/>
    <n v="37"/>
    <n v="0"/>
    <n v="223"/>
    <n v="2.5099999999999998"/>
    <n v="74.95"/>
    <n v="3.35"/>
    <n v="5923"/>
    <n v="285"/>
    <n v="4.8099999999999996"/>
    <x v="2"/>
  </r>
  <r>
    <x v="110"/>
    <x v="109"/>
    <n v="10"/>
    <n v="332"/>
    <n v="2"/>
    <n v="0"/>
    <n v="0"/>
    <n v="0"/>
    <n v="2.91"/>
    <n v="96.51"/>
    <n v="3.01"/>
    <n v="343"/>
    <n v="1"/>
    <n v="0.28999999999999998"/>
    <x v="2"/>
  </r>
  <r>
    <x v="111"/>
    <x v="110"/>
    <n v="44022"/>
    <n v="303810"/>
    <n v="47657"/>
    <n v="4973"/>
    <n v="342"/>
    <n v="8588"/>
    <n v="11.13"/>
    <n v="76.819999999999993"/>
    <n v="14.49"/>
    <n v="349396"/>
    <n v="46093"/>
    <n v="13.19"/>
    <x v="3"/>
  </r>
  <r>
    <x v="112"/>
    <x v="111"/>
    <n v="748"/>
    <n v="16154"/>
    <n v="6252"/>
    <n v="120"/>
    <n v="13"/>
    <n v="245"/>
    <n v="3.23"/>
    <n v="69.77"/>
    <n v="4.63"/>
    <n v="21115"/>
    <n v="2039"/>
    <n v="9.66"/>
    <x v="1"/>
  </r>
  <r>
    <x v="113"/>
    <x v="112"/>
    <n v="4"/>
    <n v="104"/>
    <n v="8"/>
    <n v="0"/>
    <n v="0"/>
    <n v="0"/>
    <n v="3.45"/>
    <n v="89.66"/>
    <n v="3.85"/>
    <n v="109"/>
    <n v="7"/>
    <n v="6.42"/>
    <x v="1"/>
  </r>
  <r>
    <x v="114"/>
    <x v="113"/>
    <n v="0"/>
    <n v="222"/>
    <n v="67"/>
    <n v="1"/>
    <n v="0"/>
    <n v="4"/>
    <n v="0"/>
    <n v="76.819999999999993"/>
    <n v="0"/>
    <n v="287"/>
    <n v="2"/>
    <n v="0.7"/>
    <x v="4"/>
  </r>
  <r>
    <x v="115"/>
    <x v="114"/>
    <n v="45"/>
    <n v="809"/>
    <n v="2039"/>
    <n v="94"/>
    <n v="2"/>
    <n v="70"/>
    <n v="1.56"/>
    <n v="27.96"/>
    <n v="5.56"/>
    <n v="2188"/>
    <n v="705"/>
    <n v="32.22"/>
    <x v="1"/>
  </r>
  <r>
    <x v="116"/>
    <x v="115"/>
    <n v="316"/>
    <n v="16553"/>
    <n v="4018"/>
    <n v="609"/>
    <n v="3"/>
    <n v="115"/>
    <n v="1.51"/>
    <n v="79.25"/>
    <n v="1.91"/>
    <n v="17562"/>
    <n v="3325"/>
    <n v="18.93"/>
    <x v="0"/>
  </r>
  <r>
    <x v="117"/>
    <x v="116"/>
    <n v="11"/>
    <n v="0"/>
    <n v="1690"/>
    <n v="32"/>
    <n v="0"/>
    <n v="0"/>
    <n v="0.65"/>
    <n v="0"/>
    <s v="inf"/>
    <n v="1507"/>
    <n v="194"/>
    <n v="12.87"/>
    <x v="2"/>
  </r>
  <r>
    <x v="118"/>
    <x v="117"/>
    <n v="8"/>
    <n v="101"/>
    <n v="1734"/>
    <n v="68"/>
    <n v="0"/>
    <n v="26"/>
    <n v="0.43"/>
    <n v="5.48"/>
    <n v="7.92"/>
    <n v="1344"/>
    <n v="499"/>
    <n v="37.130000000000003"/>
    <x v="2"/>
  </r>
  <r>
    <x v="119"/>
    <x v="118"/>
    <n v="48"/>
    <n v="13754"/>
    <n v="4950"/>
    <n v="139"/>
    <n v="3"/>
    <n v="626"/>
    <n v="0.26"/>
    <n v="73.349999999999994"/>
    <n v="0.35"/>
    <n v="17844"/>
    <n v="908"/>
    <n v="5.09"/>
    <x v="5"/>
  </r>
  <r>
    <x v="120"/>
    <x v="119"/>
    <n v="6160"/>
    <n v="189"/>
    <n v="47064"/>
    <n v="419"/>
    <n v="1"/>
    <n v="0"/>
    <n v="11.53"/>
    <n v="0.35"/>
    <n v="3259.26"/>
    <n v="52132"/>
    <n v="1281"/>
    <n v="2.46"/>
    <x v="1"/>
  </r>
  <r>
    <x v="121"/>
    <x v="120"/>
    <n v="22"/>
    <n v="1514"/>
    <n v="21"/>
    <n v="1"/>
    <n v="0"/>
    <n v="1"/>
    <n v="1.41"/>
    <n v="97.24"/>
    <n v="1.45"/>
    <n v="1555"/>
    <n v="2"/>
    <n v="0.13"/>
    <x v="4"/>
  </r>
  <r>
    <x v="122"/>
    <x v="121"/>
    <n v="108"/>
    <n v="2492"/>
    <n v="839"/>
    <n v="0"/>
    <n v="0"/>
    <n v="0"/>
    <n v="3.14"/>
    <n v="72.459999999999994"/>
    <n v="4.33"/>
    <n v="3147"/>
    <n v="292"/>
    <n v="9.2799999999999994"/>
    <x v="3"/>
  </r>
  <r>
    <x v="123"/>
    <x v="122"/>
    <n v="69"/>
    <n v="1027"/>
    <n v="36"/>
    <n v="0"/>
    <n v="0"/>
    <n v="0"/>
    <n v="6.1"/>
    <n v="90.72"/>
    <n v="6.72"/>
    <n v="1105"/>
    <n v="27"/>
    <n v="2.44"/>
    <x v="2"/>
  </r>
  <r>
    <x v="124"/>
    <x v="123"/>
    <n v="860"/>
    <n v="18203"/>
    <n v="22117"/>
    <n v="648"/>
    <n v="2"/>
    <n v="829"/>
    <n v="2.09"/>
    <n v="44.2"/>
    <n v="4.72"/>
    <n v="37225"/>
    <n v="3955"/>
    <n v="10.62"/>
    <x v="2"/>
  </r>
  <r>
    <x v="125"/>
    <x v="124"/>
    <n v="466"/>
    <n v="5564"/>
    <n v="4183"/>
    <n v="127"/>
    <n v="6"/>
    <n v="137"/>
    <n v="4.5599999999999996"/>
    <n v="54.48"/>
    <n v="8.3800000000000008"/>
    <n v="9249"/>
    <n v="964"/>
    <n v="10.42"/>
    <x v="1"/>
  </r>
  <r>
    <x v="126"/>
    <x v="125"/>
    <n v="255"/>
    <n v="8752"/>
    <n v="125"/>
    <n v="15"/>
    <n v="0"/>
    <n v="0"/>
    <n v="2.79"/>
    <n v="95.84"/>
    <n v="2.91"/>
    <n v="9034"/>
    <n v="98"/>
    <n v="1.08"/>
    <x v="1"/>
  </r>
  <r>
    <x v="127"/>
    <x v="126"/>
    <n v="393"/>
    <n v="57028"/>
    <n v="19637"/>
    <n v="1053"/>
    <n v="9"/>
    <n v="1729"/>
    <n v="0.51"/>
    <n v="74.010000000000005"/>
    <n v="0.69"/>
    <n v="68400"/>
    <n v="8658"/>
    <n v="12.66"/>
    <x v="0"/>
  </r>
  <r>
    <x v="128"/>
    <x v="127"/>
    <n v="5842"/>
    <n v="241026"/>
    <n v="27421"/>
    <n v="1176"/>
    <n v="20"/>
    <n v="3592"/>
    <n v="2.13"/>
    <n v="87.87"/>
    <n v="2.42"/>
    <n v="266096"/>
    <n v="8193"/>
    <n v="3.08"/>
    <x v="0"/>
  </r>
  <r>
    <x v="129"/>
    <x v="128"/>
    <n v="1322"/>
    <n v="35086"/>
    <n v="25034"/>
    <n v="1146"/>
    <n v="28"/>
    <n v="955"/>
    <n v="2.15"/>
    <n v="57.1"/>
    <n v="3.77"/>
    <n v="54426"/>
    <n v="7016"/>
    <n v="12.89"/>
    <x v="3"/>
  </r>
  <r>
    <x v="130"/>
    <x v="129"/>
    <n v="0"/>
    <n v="11"/>
    <n v="51"/>
    <n v="0"/>
    <n v="0"/>
    <n v="0"/>
    <n v="0"/>
    <n v="17.739999999999998"/>
    <n v="0"/>
    <n v="19"/>
    <n v="43"/>
    <n v="226.32"/>
    <x v="4"/>
  </r>
  <r>
    <x v="131"/>
    <x v="130"/>
    <n v="43"/>
    <n v="2905"/>
    <n v="1600"/>
    <n v="104"/>
    <n v="2"/>
    <n v="111"/>
    <n v="0.95"/>
    <n v="63.87"/>
    <n v="1.48"/>
    <n v="3748"/>
    <n v="800"/>
    <n v="21.34"/>
    <x v="3"/>
  </r>
  <r>
    <x v="132"/>
    <x v="131"/>
    <n v="18418"/>
    <n v="272547"/>
    <n v="98752"/>
    <n v="13756"/>
    <n v="575"/>
    <n v="4697"/>
    <n v="4.7300000000000004"/>
    <n v="69.930000000000007"/>
    <n v="6.76"/>
    <n v="357681"/>
    <n v="32036"/>
    <n v="8.9600000000000009"/>
    <x v="3"/>
  </r>
  <r>
    <x v="133"/>
    <x v="132"/>
    <n v="1945"/>
    <n v="26446"/>
    <n v="53649"/>
    <n v="1592"/>
    <n v="13"/>
    <n v="336"/>
    <n v="2.37"/>
    <n v="32.24"/>
    <n v="7.35"/>
    <n v="68898"/>
    <n v="13142"/>
    <n v="19.07"/>
    <x v="4"/>
  </r>
  <r>
    <x v="134"/>
    <x v="133"/>
    <n v="1676"/>
    <n v="32856"/>
    <n v="8870"/>
    <n v="337"/>
    <n v="5"/>
    <n v="103"/>
    <n v="3.86"/>
    <n v="75.7"/>
    <n v="5.0999999999999996"/>
    <n v="40383"/>
    <n v="3019"/>
    <n v="7.48"/>
    <x v="1"/>
  </r>
  <r>
    <x v="135"/>
    <x v="134"/>
    <n v="1719"/>
    <n v="35375"/>
    <n v="13205"/>
    <n v="135"/>
    <n v="2"/>
    <n v="158"/>
    <n v="3.42"/>
    <n v="70.33"/>
    <n v="4.8600000000000003"/>
    <n v="48771"/>
    <n v="1528"/>
    <n v="3.13"/>
    <x v="1"/>
  </r>
  <r>
    <x v="136"/>
    <x v="135"/>
    <n v="165"/>
    <n v="106328"/>
    <n v="3104"/>
    <n v="292"/>
    <n v="0"/>
    <n v="304"/>
    <n v="0.15"/>
    <n v="97.02"/>
    <n v="0.16"/>
    <n v="107037"/>
    <n v="2560"/>
    <n v="2.39"/>
    <x v="0"/>
  </r>
  <r>
    <x v="137"/>
    <x v="136"/>
    <n v="2206"/>
    <n v="25794"/>
    <n v="17902"/>
    <n v="1104"/>
    <n v="19"/>
    <n v="151"/>
    <n v="4.8099999999999996"/>
    <n v="56.19"/>
    <n v="8.5500000000000007"/>
    <n v="38139"/>
    <n v="7763"/>
    <n v="20.350000000000001"/>
    <x v="1"/>
  </r>
  <r>
    <x v="138"/>
    <x v="137"/>
    <n v="13334"/>
    <n v="602249"/>
    <n v="201097"/>
    <n v="5607"/>
    <n v="85"/>
    <n v="3077"/>
    <n v="1.63"/>
    <n v="73.739999999999995"/>
    <n v="2.21"/>
    <n v="776212"/>
    <n v="40468"/>
    <n v="5.21"/>
    <x v="1"/>
  </r>
  <r>
    <x v="139"/>
    <x v="138"/>
    <n v="5"/>
    <n v="975"/>
    <n v="899"/>
    <n v="58"/>
    <n v="0"/>
    <n v="57"/>
    <n v="0.27"/>
    <n v="51.89"/>
    <n v="0.51"/>
    <n v="1629"/>
    <n v="250"/>
    <n v="15.35"/>
    <x v="2"/>
  </r>
  <r>
    <x v="140"/>
    <x v="139"/>
    <n v="0"/>
    <n v="15"/>
    <n v="2"/>
    <n v="0"/>
    <n v="0"/>
    <n v="0"/>
    <n v="0"/>
    <n v="88.24"/>
    <n v="0"/>
    <n v="17"/>
    <n v="0"/>
    <n v="0"/>
    <x v="3"/>
  </r>
  <r>
    <x v="141"/>
    <x v="140"/>
    <n v="0"/>
    <n v="22"/>
    <n v="2"/>
    <n v="0"/>
    <n v="0"/>
    <n v="0"/>
    <n v="0"/>
    <n v="91.67"/>
    <n v="0"/>
    <n v="23"/>
    <n v="1"/>
    <n v="4.3499999999999996"/>
    <x v="3"/>
  </r>
  <r>
    <x v="142"/>
    <x v="141"/>
    <n v="0"/>
    <n v="39"/>
    <n v="13"/>
    <n v="0"/>
    <n v="0"/>
    <n v="0"/>
    <n v="0"/>
    <n v="75"/>
    <n v="0"/>
    <n v="50"/>
    <n v="2"/>
    <n v="4"/>
    <x v="3"/>
  </r>
  <r>
    <x v="143"/>
    <x v="142"/>
    <n v="42"/>
    <n v="657"/>
    <n v="0"/>
    <n v="0"/>
    <n v="0"/>
    <n v="0"/>
    <n v="6.01"/>
    <n v="93.99"/>
    <n v="6.39"/>
    <n v="699"/>
    <n v="0"/>
    <n v="0"/>
    <x v="1"/>
  </r>
  <r>
    <x v="144"/>
    <x v="143"/>
    <n v="14"/>
    <n v="734"/>
    <n v="117"/>
    <n v="2"/>
    <n v="0"/>
    <n v="38"/>
    <n v="1.62"/>
    <n v="84.86"/>
    <n v="1.91"/>
    <n v="746"/>
    <n v="119"/>
    <n v="15.95"/>
    <x v="2"/>
  </r>
  <r>
    <x v="145"/>
    <x v="144"/>
    <n v="2760"/>
    <n v="222936"/>
    <n v="43238"/>
    <n v="1993"/>
    <n v="27"/>
    <n v="2613"/>
    <n v="1.03"/>
    <n v="82.9"/>
    <n v="1.24"/>
    <n v="253349"/>
    <n v="15585"/>
    <n v="6.15"/>
    <x v="0"/>
  </r>
  <r>
    <x v="146"/>
    <x v="145"/>
    <n v="194"/>
    <n v="6477"/>
    <n v="3093"/>
    <n v="83"/>
    <n v="3"/>
    <n v="68"/>
    <n v="1.99"/>
    <n v="66.34"/>
    <n v="3"/>
    <n v="8948"/>
    <n v="816"/>
    <n v="9.1199999999999992"/>
    <x v="2"/>
  </r>
  <r>
    <x v="147"/>
    <x v="146"/>
    <n v="543"/>
    <n v="0"/>
    <n v="23598"/>
    <n v="411"/>
    <n v="9"/>
    <n v="0"/>
    <n v="2.25"/>
    <n v="0"/>
    <s v="inf"/>
    <n v="21253"/>
    <n v="2888"/>
    <n v="13.59"/>
    <x v="1"/>
  </r>
  <r>
    <x v="148"/>
    <x v="147"/>
    <n v="0"/>
    <n v="39"/>
    <n v="75"/>
    <n v="0"/>
    <n v="0"/>
    <n v="0"/>
    <n v="0"/>
    <n v="34.21"/>
    <n v="0"/>
    <n v="108"/>
    <n v="6"/>
    <n v="5.56"/>
    <x v="2"/>
  </r>
  <r>
    <x v="149"/>
    <x v="148"/>
    <n v="66"/>
    <n v="1317"/>
    <n v="400"/>
    <n v="0"/>
    <n v="0"/>
    <n v="4"/>
    <n v="3.7"/>
    <n v="73.86"/>
    <n v="5.01"/>
    <n v="1711"/>
    <n v="72"/>
    <n v="4.21"/>
    <x v="2"/>
  </r>
  <r>
    <x v="150"/>
    <x v="149"/>
    <n v="27"/>
    <n v="45692"/>
    <n v="5119"/>
    <n v="469"/>
    <n v="0"/>
    <n v="171"/>
    <n v="0.05"/>
    <n v="89.88"/>
    <n v="0.06"/>
    <n v="48035"/>
    <n v="2803"/>
    <n v="5.84"/>
    <x v="4"/>
  </r>
  <r>
    <x v="151"/>
    <x v="150"/>
    <n v="28"/>
    <n v="1616"/>
    <n v="537"/>
    <n v="2"/>
    <n v="0"/>
    <n v="39"/>
    <n v="1.28"/>
    <n v="74.09"/>
    <n v="1.73"/>
    <n v="1980"/>
    <n v="201"/>
    <n v="10.15"/>
    <x v="1"/>
  </r>
  <r>
    <x v="152"/>
    <x v="151"/>
    <n v="116"/>
    <n v="1733"/>
    <n v="238"/>
    <n v="5"/>
    <n v="0"/>
    <n v="55"/>
    <n v="5.56"/>
    <n v="83.04"/>
    <n v="6.69"/>
    <n v="1953"/>
    <n v="134"/>
    <n v="6.86"/>
    <x v="1"/>
  </r>
  <r>
    <x v="153"/>
    <x v="152"/>
    <n v="93"/>
    <n v="1543"/>
    <n v="1560"/>
    <n v="18"/>
    <n v="0"/>
    <n v="22"/>
    <n v="2.91"/>
    <n v="48.28"/>
    <n v="6.03"/>
    <n v="3130"/>
    <n v="66"/>
    <n v="2.11"/>
    <x v="0"/>
  </r>
  <r>
    <x v="154"/>
    <x v="153"/>
    <n v="7067"/>
    <n v="274925"/>
    <n v="170537"/>
    <n v="7096"/>
    <n v="298"/>
    <n v="9848"/>
    <n v="1.56"/>
    <n v="60.75"/>
    <n v="2.57"/>
    <n v="373628"/>
    <n v="78901"/>
    <n v="21.12"/>
    <x v="2"/>
  </r>
  <r>
    <x v="155"/>
    <x v="154"/>
    <n v="300"/>
    <n v="13007"/>
    <n v="896"/>
    <n v="28"/>
    <n v="1"/>
    <n v="102"/>
    <n v="2.11"/>
    <n v="91.58"/>
    <n v="2.31"/>
    <n v="13816"/>
    <n v="387"/>
    <n v="2.8"/>
    <x v="4"/>
  </r>
  <r>
    <x v="156"/>
    <x v="155"/>
    <n v="46"/>
    <n v="1175"/>
    <n v="1084"/>
    <n v="43"/>
    <n v="1"/>
    <n v="0"/>
    <n v="2"/>
    <n v="50.98"/>
    <n v="3.91"/>
    <n v="2211"/>
    <n v="94"/>
    <n v="4.25"/>
    <x v="2"/>
  </r>
  <r>
    <x v="157"/>
    <x v="156"/>
    <n v="28432"/>
    <n v="150376"/>
    <n v="93613"/>
    <n v="0"/>
    <n v="0"/>
    <n v="0"/>
    <n v="10.44"/>
    <n v="55.2"/>
    <n v="18.91"/>
    <n v="264836"/>
    <n v="7585"/>
    <n v="2.86"/>
    <x v="1"/>
  </r>
  <r>
    <x v="158"/>
    <x v="157"/>
    <n v="11"/>
    <n v="2121"/>
    <n v="673"/>
    <n v="23"/>
    <n v="0"/>
    <n v="15"/>
    <n v="0.39"/>
    <n v="75.61"/>
    <n v="0.52"/>
    <n v="2730"/>
    <n v="75"/>
    <n v="2.75"/>
    <x v="5"/>
  </r>
  <r>
    <x v="159"/>
    <x v="158"/>
    <n v="720"/>
    <n v="5939"/>
    <n v="4765"/>
    <n v="39"/>
    <n v="3"/>
    <n v="49"/>
    <n v="6.3"/>
    <n v="51.99"/>
    <n v="12.12"/>
    <n v="10992"/>
    <n v="432"/>
    <n v="3.93"/>
    <x v="0"/>
  </r>
  <r>
    <x v="160"/>
    <x v="159"/>
    <n v="24"/>
    <n v="925"/>
    <n v="534"/>
    <n v="44"/>
    <n v="1"/>
    <n v="35"/>
    <n v="1.62"/>
    <n v="62.37"/>
    <n v="2.59"/>
    <n v="1079"/>
    <n v="404"/>
    <n v="37.44"/>
    <x v="3"/>
  </r>
  <r>
    <x v="161"/>
    <x v="160"/>
    <n v="5700"/>
    <n v="0"/>
    <n v="73695"/>
    <n v="398"/>
    <n v="3"/>
    <n v="0"/>
    <n v="7.18"/>
    <n v="0"/>
    <s v="inf"/>
    <n v="78048"/>
    <n v="1347"/>
    <n v="1.73"/>
    <x v="1"/>
  </r>
  <r>
    <x v="162"/>
    <x v="161"/>
    <n v="1978"/>
    <n v="30900"/>
    <n v="1599"/>
    <n v="65"/>
    <n v="1"/>
    <n v="200"/>
    <n v="5.74"/>
    <n v="89.62"/>
    <n v="6.4"/>
    <n v="33634"/>
    <n v="843"/>
    <n v="2.5099999999999998"/>
    <x v="1"/>
  </r>
  <r>
    <x v="163"/>
    <x v="162"/>
    <n v="40"/>
    <n v="0"/>
    <n v="634"/>
    <n v="24"/>
    <n v="2"/>
    <n v="0"/>
    <n v="5.93"/>
    <n v="0"/>
    <s v="inf"/>
    <n v="522"/>
    <n v="152"/>
    <n v="29.12"/>
    <x v="0"/>
  </r>
  <r>
    <x v="164"/>
    <x v="163"/>
    <n v="7"/>
    <n v="440"/>
    <n v="15"/>
    <n v="4"/>
    <n v="0"/>
    <n v="0"/>
    <n v="1.52"/>
    <n v="95.24"/>
    <n v="1.59"/>
    <n v="451"/>
    <n v="11"/>
    <n v="2.44"/>
    <x v="4"/>
  </r>
  <r>
    <x v="165"/>
    <x v="164"/>
    <n v="60"/>
    <n v="6028"/>
    <n v="1147"/>
    <n v="43"/>
    <n v="1"/>
    <n v="58"/>
    <n v="0.83"/>
    <n v="83.32"/>
    <n v="1"/>
    <n v="6921"/>
    <n v="314"/>
    <n v="4.54"/>
    <x v="1"/>
  </r>
  <r>
    <x v="166"/>
    <x v="165"/>
    <n v="21"/>
    <n v="183"/>
    <n v="305"/>
    <n v="0"/>
    <n v="0"/>
    <n v="0"/>
    <n v="4.13"/>
    <n v="35.950000000000003"/>
    <n v="11.48"/>
    <n v="509"/>
    <n v="0"/>
    <n v="0"/>
    <x v="2"/>
  </r>
  <r>
    <x v="167"/>
    <x v="166"/>
    <n v="58"/>
    <n v="3111"/>
    <n v="128"/>
    <n v="6"/>
    <n v="0"/>
    <n v="2"/>
    <n v="1.76"/>
    <n v="94.36"/>
    <n v="1.86"/>
    <n v="3250"/>
    <n v="47"/>
    <n v="1.45"/>
    <x v="5"/>
  </r>
  <r>
    <x v="168"/>
    <x v="140"/>
    <n v="0"/>
    <n v="0"/>
    <n v="24"/>
    <n v="0"/>
    <n v="0"/>
    <n v="0"/>
    <n v="0"/>
    <n v="0"/>
    <n v="0"/>
    <n v="24"/>
    <n v="0"/>
    <n v="0"/>
    <x v="5"/>
  </r>
  <r>
    <x v="169"/>
    <x v="167"/>
    <n v="18"/>
    <n v="607"/>
    <n v="249"/>
    <n v="6"/>
    <n v="0"/>
    <n v="8"/>
    <n v="2.06"/>
    <n v="69.45"/>
    <n v="2.97"/>
    <n v="783"/>
    <n v="91"/>
    <n v="11.62"/>
    <x v="2"/>
  </r>
  <r>
    <x v="170"/>
    <x v="168"/>
    <n v="8"/>
    <n v="128"/>
    <n v="12"/>
    <n v="1"/>
    <n v="0"/>
    <n v="0"/>
    <n v="5.41"/>
    <n v="86.49"/>
    <n v="6.25"/>
    <n v="137"/>
    <n v="11"/>
    <n v="8.0299999999999994"/>
    <x v="3"/>
  </r>
  <r>
    <x v="171"/>
    <x v="169"/>
    <n v="50"/>
    <n v="1157"/>
    <n v="248"/>
    <n v="3"/>
    <n v="0"/>
    <n v="15"/>
    <n v="3.44"/>
    <n v="79.52"/>
    <n v="4.32"/>
    <n v="1381"/>
    <n v="74"/>
    <n v="5.36"/>
    <x v="0"/>
  </r>
  <r>
    <x v="172"/>
    <x v="170"/>
    <n v="5630"/>
    <n v="210469"/>
    <n v="10920"/>
    <n v="919"/>
    <n v="17"/>
    <n v="982"/>
    <n v="2.48"/>
    <n v="92.71"/>
    <n v="2.67"/>
    <n v="220572"/>
    <n v="6447"/>
    <n v="2.92"/>
    <x v="1"/>
  </r>
  <r>
    <x v="173"/>
    <x v="171"/>
    <n v="148011"/>
    <n v="1325804"/>
    <n v="2816444"/>
    <n v="56336"/>
    <n v="1076"/>
    <n v="27941"/>
    <n v="3.45"/>
    <n v="30.9"/>
    <n v="11.16"/>
    <n v="3834677"/>
    <n v="455582"/>
    <n v="11.88"/>
    <x v="3"/>
  </r>
  <r>
    <x v="174"/>
    <x v="172"/>
    <n v="2"/>
    <n v="986"/>
    <n v="140"/>
    <n v="13"/>
    <n v="0"/>
    <n v="4"/>
    <n v="0.18"/>
    <n v="87.41"/>
    <n v="0.2"/>
    <n v="1069"/>
    <n v="59"/>
    <n v="5.52"/>
    <x v="2"/>
  </r>
  <r>
    <x v="175"/>
    <x v="173"/>
    <n v="1636"/>
    <n v="37202"/>
    <n v="28258"/>
    <n v="835"/>
    <n v="11"/>
    <n v="317"/>
    <n v="2.44"/>
    <n v="55.45"/>
    <n v="4.4000000000000004"/>
    <n v="60767"/>
    <n v="6329"/>
    <n v="10.42"/>
    <x v="1"/>
  </r>
  <r>
    <x v="176"/>
    <x v="174"/>
    <n v="345"/>
    <n v="52510"/>
    <n v="6322"/>
    <n v="264"/>
    <n v="1"/>
    <n v="328"/>
    <n v="0.57999999999999996"/>
    <n v="88.73"/>
    <n v="0.66"/>
    <n v="57193"/>
    <n v="1984"/>
    <n v="3.47"/>
    <x v="0"/>
  </r>
  <r>
    <x v="177"/>
    <x v="175"/>
    <n v="45844"/>
    <n v="1437"/>
    <n v="254427"/>
    <n v="688"/>
    <n v="7"/>
    <n v="3"/>
    <n v="15.19"/>
    <n v="0.48"/>
    <n v="3190.26"/>
    <n v="296944"/>
    <n v="4764"/>
    <n v="1.6"/>
    <x v="1"/>
  </r>
  <r>
    <x v="178"/>
    <x v="176"/>
    <n v="35"/>
    <n v="951"/>
    <n v="216"/>
    <n v="10"/>
    <n v="1"/>
    <n v="3"/>
    <n v="2.91"/>
    <n v="79.12"/>
    <n v="3.68"/>
    <n v="1064"/>
    <n v="138"/>
    <n v="12.97"/>
    <x v="3"/>
  </r>
  <r>
    <x v="179"/>
    <x v="177"/>
    <n v="121"/>
    <n v="11674"/>
    <n v="9414"/>
    <n v="678"/>
    <n v="5"/>
    <n v="569"/>
    <n v="0.56999999999999995"/>
    <n v="55.04"/>
    <n v="1.04"/>
    <n v="17149"/>
    <n v="4060"/>
    <n v="23.67"/>
    <x v="1"/>
  </r>
  <r>
    <x v="180"/>
    <x v="178"/>
    <n v="146"/>
    <n v="9959"/>
    <n v="5883"/>
    <n v="525"/>
    <n v="4"/>
    <n v="213"/>
    <n v="0.91"/>
    <n v="62.29"/>
    <n v="1.47"/>
    <n v="12334"/>
    <n v="3654"/>
    <n v="29.63"/>
    <x v="3"/>
  </r>
  <r>
    <x v="181"/>
    <x v="179"/>
    <n v="0"/>
    <n v="365"/>
    <n v="66"/>
    <n v="11"/>
    <n v="0"/>
    <n v="0"/>
    <n v="0"/>
    <n v="84.69"/>
    <n v="0"/>
    <n v="384"/>
    <n v="47"/>
    <n v="12.24"/>
    <x v="4"/>
  </r>
  <r>
    <x v="182"/>
    <x v="25"/>
    <n v="78"/>
    <n v="3752"/>
    <n v="6791"/>
    <n v="152"/>
    <n v="2"/>
    <n v="0"/>
    <n v="0.73"/>
    <n v="35.33"/>
    <n v="2.08"/>
    <n v="8916"/>
    <n v="1705"/>
    <n v="19.12"/>
    <x v="0"/>
  </r>
  <r>
    <x v="183"/>
    <x v="180"/>
    <n v="1"/>
    <n v="8"/>
    <n v="1"/>
    <n v="0"/>
    <n v="0"/>
    <n v="0"/>
    <n v="10"/>
    <n v="80"/>
    <n v="12.5"/>
    <n v="10"/>
    <n v="0"/>
    <n v="0"/>
    <x v="2"/>
  </r>
  <r>
    <x v="184"/>
    <x v="181"/>
    <n v="483"/>
    <n v="833"/>
    <n v="375"/>
    <n v="10"/>
    <n v="4"/>
    <n v="36"/>
    <n v="28.56"/>
    <n v="49.26"/>
    <n v="57.98"/>
    <n v="1619"/>
    <n v="72"/>
    <n v="4.45"/>
    <x v="0"/>
  </r>
  <r>
    <x v="185"/>
    <x v="182"/>
    <n v="140"/>
    <n v="2815"/>
    <n v="1597"/>
    <n v="71"/>
    <n v="1"/>
    <n v="465"/>
    <n v="3.08"/>
    <n v="61.84"/>
    <n v="4.97"/>
    <n v="3326"/>
    <n v="1226"/>
    <n v="36.86"/>
    <x v="2"/>
  </r>
  <r>
    <x v="186"/>
    <x v="183"/>
    <n v="36"/>
    <n v="542"/>
    <n v="2126"/>
    <n v="192"/>
    <n v="2"/>
    <n v="24"/>
    <n v="1.33"/>
    <n v="20.04"/>
    <n v="6.64"/>
    <n v="1713"/>
    <n v="991"/>
    <n v="57.8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AA6F9-53BE-4266-90A4-78ED83DC0CF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WHO Regions">
  <location ref="A2:E9" firstHeaderRow="0" firstDataRow="1" firstDataCol="1"/>
  <pivotFields count="15"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2"/>
        <item x="3"/>
        <item x="0"/>
        <item x="1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7">
    <i>
      <x v="1"/>
    </i>
    <i>
      <x v="3"/>
    </i>
    <i>
      <x v="4"/>
    </i>
    <i>
      <x v="2"/>
    </i>
    <i>
      <x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onfirmed" fld="1" baseField="0" baseItem="0"/>
    <dataField name="Sum of Deaths" fld="2" baseField="0" baseItem="0"/>
    <dataField name="Sum of Recovered" fld="3" baseField="0" baseItem="0"/>
    <dataField name="Sum of Active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1D60F-DB56-42ED-A3C9-5A52DBF5D9A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A2:B13" firstHeaderRow="1" firstDataRow="1" firstDataCol="1"/>
  <pivotFields count="15">
    <pivotField axis="axisRow" showAll="0" measureFilter="1" sortType="descending">
      <items count="188">
        <item x="186"/>
        <item x="185"/>
        <item x="184"/>
        <item x="183"/>
        <item x="182"/>
        <item x="181"/>
        <item x="180"/>
        <item x="179"/>
        <item x="173"/>
        <item x="178"/>
        <item x="177"/>
        <item x="176"/>
        <item x="175"/>
        <item x="174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8"/>
    </i>
    <i>
      <x v="162"/>
    </i>
    <i>
      <x v="107"/>
    </i>
    <i>
      <x v="48"/>
    </i>
    <i>
      <x v="32"/>
    </i>
    <i>
      <x v="75"/>
    </i>
    <i>
      <x v="54"/>
    </i>
    <i>
      <x v="150"/>
    </i>
    <i>
      <x v="10"/>
    </i>
    <i>
      <x v="105"/>
    </i>
    <i t="grand">
      <x/>
    </i>
  </rowItems>
  <colItems count="1">
    <i/>
  </colItems>
  <dataFields count="1">
    <dataField name="Sum of Confirmed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E6A07-A0B5-4099-BFE3-C364F78CDA2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A2:B13" firstHeaderRow="1" firstDataRow="1" firstDataCol="1"/>
  <pivotFields count="15">
    <pivotField axis="axisRow" showAll="0" measureFilter="1" sortType="descending">
      <items count="188">
        <item x="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3"/>
        <item x="179"/>
        <item x="180"/>
        <item x="181"/>
        <item x="182"/>
        <item x="183"/>
        <item x="184"/>
        <item x="185"/>
        <item x="18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178"/>
    </i>
    <i>
      <x v="24"/>
    </i>
    <i>
      <x v="176"/>
    </i>
    <i>
      <x v="111"/>
    </i>
    <i>
      <x v="85"/>
    </i>
    <i>
      <x v="79"/>
    </i>
    <i>
      <x v="62"/>
    </i>
    <i>
      <x v="157"/>
    </i>
    <i>
      <x v="132"/>
    </i>
    <i>
      <x v="81"/>
    </i>
    <i t="grand">
      <x/>
    </i>
  </rowItems>
  <colItems count="1">
    <i/>
  </colItems>
  <dataFields count="1">
    <dataField name="Sum of Deaths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56C44F-82F3-43DE-854F-D0B6DA1B0E57}" name="Table1" displayName="Table1" ref="A1:T188" totalsRowShown="0" headerRowDxfId="13" headerRowBorderDxfId="12" tableBorderDxfId="11">
  <autoFilter ref="A1:T188" xr:uid="{1D56C44F-82F3-43DE-854F-D0B6DA1B0E57}"/>
  <sortState xmlns:xlrd2="http://schemas.microsoft.com/office/spreadsheetml/2017/richdata2" ref="A2:O188">
    <sortCondition descending="1" ref="B1:B188"/>
  </sortState>
  <tableColumns count="20">
    <tableColumn id="1" xr3:uid="{D1B15BC2-00F7-4C6D-8CA5-DD5AECBB9A36}" name="Country_Region"/>
    <tableColumn id="2" xr3:uid="{8403781B-BABE-4496-800E-5D03C60ECBA7}" name="Confirmed"/>
    <tableColumn id="3" xr3:uid="{E8169AC1-9047-4AEB-A172-3BE5D2809D41}" name="Deaths"/>
    <tableColumn id="4" xr3:uid="{40A9DCE6-FA16-4EC7-B522-F160880E66C4}" name="Recovered"/>
    <tableColumn id="5" xr3:uid="{840D7477-B28D-4D4F-8F20-3AE829E1EA6E}" name="Active"/>
    <tableColumn id="6" xr3:uid="{06DB6650-F7B7-4EBE-9A20-169EA990456D}" name="New_cases"/>
    <tableColumn id="7" xr3:uid="{B39AAA99-A9E9-4C63-B50B-0423481FBFA2}" name="New_deaths"/>
    <tableColumn id="8" xr3:uid="{6D9495EF-B5D3-462C-955A-A1CFD47BF8CE}" name="New_recovered"/>
    <tableColumn id="9" xr3:uid="{5A30EDD3-EBD2-47C8-A5D0-92386D75FBA0}" name="Deaths___100_Cases"/>
    <tableColumn id="10" xr3:uid="{C7ECB0A7-FCBE-4F45-BE87-3AC0B1EE02AE}" name="Recovered___100_Cases"/>
    <tableColumn id="11" xr3:uid="{2752AD32-1DE2-426B-AB16-529E6C14D2B7}" name="Deaths___100_Recovered"/>
    <tableColumn id="12" xr3:uid="{388A9F0C-C336-4C55-8BEE-A0283D94BADB}" name="Confirmed_last_week"/>
    <tableColumn id="13" xr3:uid="{C884B412-C290-4BEB-BE98-BD1CC64FED1C}" name="1_week_change"/>
    <tableColumn id="14" xr3:uid="{8F08CC34-E9F0-44CE-8411-E102BD2B4EC7}" name="1_week_pct_increase"/>
    <tableColumn id="15" xr3:uid="{C412856A-16EF-49D0-8D98-C005B262E0F1}" name="WHO_Region"/>
    <tableColumn id="16" xr3:uid="{4CF6BEC6-C2C9-4837-84D3-38107CA12B2C}" name="Active Case %" dataDxfId="10">
      <calculatedColumnFormula>Table1[Active]/Table1[Confirmed]*100</calculatedColumnFormula>
    </tableColumn>
    <tableColumn id="17" xr3:uid="{A20F6F63-21D1-44D5-B7B8-2B55CA118B90}" name="New Case Growth Rate" dataDxfId="9">
      <calculatedColumnFormula>Table1[New_cases]/Table1[Confirmed_last_week]*100</calculatedColumnFormula>
    </tableColumn>
    <tableColumn id="18" xr3:uid="{70965402-08B8-4FC0-8ADF-CE045B90DCC1}" name="Recovery Gap" dataDxfId="8">
      <calculatedColumnFormula>Table1[Confirmed]-Table1[Recovered]</calculatedColumnFormula>
    </tableColumn>
    <tableColumn id="19" xr3:uid="{8AF8434E-DED3-4C98-B6F4-EDFC66405B81}" name="Case Fatality Ratio" dataDxfId="7">
      <calculatedColumnFormula>Table1[Deaths]/Table1[Confirmed]*100</calculatedColumnFormula>
    </tableColumn>
    <tableColumn id="20" xr3:uid="{EA696AC1-1907-4C4B-888B-DB7394412082}" name="Recovery to Death Ratio" dataDxfId="6">
      <calculatedColumnFormula>D2:D188/Table1[Deaths]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91034E-333E-4FDF-8B41-4DE1E11B3FC7}" name="Table35" displayName="Table35" ref="A1:C188" totalsRowShown="0" headerRowDxfId="5" headerRowBorderDxfId="4">
  <autoFilter ref="A1:C188" xr:uid="{E691034E-333E-4FDF-8B41-4DE1E11B3FC7}"/>
  <tableColumns count="3">
    <tableColumn id="1" xr3:uid="{1E5E3049-2149-46F4-9ACD-A34DF4C08E13}" name="WHO_Region"/>
    <tableColumn id="2" xr3:uid="{42034982-0A68-4954-93BA-12A0AE077058}" name="Confirmed"/>
    <tableColumn id="3" xr3:uid="{FC5C2484-B230-46ED-8221-36770389F7CC}" name="Death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702958-56C0-4C26-9413-C409D570598F}" name="Table8" displayName="Table8" ref="A1:C188" totalsRowShown="0" headerRowDxfId="3" headerRowBorderDxfId="2">
  <autoFilter ref="A1:C188" xr:uid="{9F702958-56C0-4C26-9413-C409D570598F}"/>
  <tableColumns count="3">
    <tableColumn id="1" xr3:uid="{6EB3BA4A-B0F5-4BF2-96F4-24F77BD49F41}" name="WHO_Region"/>
    <tableColumn id="2" xr3:uid="{2D2B8EA1-ECDF-4386-BE5D-2CB6C6478EAA}" name="Confirmed"/>
    <tableColumn id="3" xr3:uid="{61D99167-535B-4B7F-AC7C-FDCDCA39C4D3}" name="Recover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AB6ADC-C330-4BFC-8A37-8D757DCAC116}" name="Table9" displayName="Table9" ref="A1:C188" totalsRowShown="0" headerRowDxfId="1" headerRowBorderDxfId="0">
  <autoFilter ref="A1:C188" xr:uid="{B8AB6ADC-C330-4BFC-8A37-8D757DCAC116}"/>
  <tableColumns count="3">
    <tableColumn id="1" xr3:uid="{049C8057-8408-40C9-8946-77C7D99150B3}" name="WHO_Region"/>
    <tableColumn id="2" xr3:uid="{3107A037-8AEB-4B2F-B540-B78FCA1B811A}" name="Confirmed"/>
    <tableColumn id="3" xr3:uid="{58FF35ED-549B-4695-BEF7-C23FE3CEF056}" name="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1574-119A-4344-88FB-95ACF74F0B97}">
  <dimension ref="A1:T188"/>
  <sheetViews>
    <sheetView workbookViewId="0">
      <selection activeCell="J38" sqref="J38"/>
    </sheetView>
  </sheetViews>
  <sheetFormatPr defaultRowHeight="15" x14ac:dyDescent="0.25"/>
  <cols>
    <col min="1" max="1" width="31.140625" bestFit="1" customWidth="1"/>
    <col min="2" max="2" width="15" bestFit="1" customWidth="1"/>
    <col min="3" max="3" width="11.7109375" bestFit="1" customWidth="1"/>
    <col min="4" max="4" width="15" bestFit="1" customWidth="1"/>
    <col min="5" max="5" width="11.140625" bestFit="1" customWidth="1"/>
    <col min="6" max="6" width="15.42578125" bestFit="1" customWidth="1"/>
    <col min="7" max="7" width="16.7109375" bestFit="1" customWidth="1"/>
    <col min="8" max="8" width="19.85546875" bestFit="1" customWidth="1"/>
    <col min="9" max="9" width="24" bestFit="1" customWidth="1"/>
    <col min="10" max="10" width="27.42578125" bestFit="1" customWidth="1"/>
    <col min="11" max="11" width="28.5703125" bestFit="1" customWidth="1"/>
    <col min="12" max="12" width="25.28515625" bestFit="1" customWidth="1"/>
    <col min="13" max="13" width="19.85546875" bestFit="1" customWidth="1"/>
    <col min="14" max="14" width="24.85546875" bestFit="1" customWidth="1"/>
    <col min="15" max="15" width="21.7109375" bestFit="1" customWidth="1"/>
    <col min="16" max="16" width="17.85546875" bestFit="1" customWidth="1"/>
    <col min="17" max="17" width="26.28515625" bestFit="1" customWidth="1"/>
    <col min="18" max="18" width="17.85546875" bestFit="1" customWidth="1"/>
    <col min="19" max="19" width="22" bestFit="1" customWidth="1"/>
    <col min="20" max="20" width="27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2" t="s">
        <v>239</v>
      </c>
      <c r="Q1" s="12" t="s">
        <v>235</v>
      </c>
      <c r="R1" s="1" t="s">
        <v>236</v>
      </c>
      <c r="S1" s="1" t="s">
        <v>237</v>
      </c>
      <c r="T1" s="1" t="s">
        <v>238</v>
      </c>
    </row>
    <row r="2" spans="1:20" x14ac:dyDescent="0.25">
      <c r="A2" t="s">
        <v>195</v>
      </c>
      <c r="B2">
        <v>4290259</v>
      </c>
      <c r="C2">
        <v>148011</v>
      </c>
      <c r="D2">
        <v>1325804</v>
      </c>
      <c r="E2">
        <v>2816444</v>
      </c>
      <c r="F2">
        <v>56336</v>
      </c>
      <c r="G2">
        <v>1076</v>
      </c>
      <c r="H2">
        <v>27941</v>
      </c>
      <c r="I2">
        <v>3.45</v>
      </c>
      <c r="J2">
        <v>30.9</v>
      </c>
      <c r="K2">
        <v>11.16</v>
      </c>
      <c r="L2">
        <v>3834677</v>
      </c>
      <c r="M2">
        <v>455582</v>
      </c>
      <c r="N2">
        <v>11.88</v>
      </c>
      <c r="O2" t="s">
        <v>24</v>
      </c>
      <c r="P2">
        <f>Table1[Active]/Table1[Confirmed]*100</f>
        <v>65.647411962774271</v>
      </c>
      <c r="Q2">
        <f>Table1[New_cases]/Table1[Confirmed_last_week]*100</f>
        <v>1.4691198241729355</v>
      </c>
      <c r="R2">
        <f>Table1[Confirmed]-Table1[Recovered]</f>
        <v>2964455</v>
      </c>
      <c r="S2">
        <f>Table1[Deaths]/Table1[Confirmed]*100</f>
        <v>3.4499315775574386</v>
      </c>
      <c r="T2">
        <f>D2:D188/Table1[Deaths]</f>
        <v>8.9574693772760128</v>
      </c>
    </row>
    <row r="3" spans="1:20" x14ac:dyDescent="0.25">
      <c r="A3" t="s">
        <v>44</v>
      </c>
      <c r="B3">
        <v>2442375</v>
      </c>
      <c r="C3">
        <v>87618</v>
      </c>
      <c r="D3">
        <v>1846641</v>
      </c>
      <c r="E3">
        <v>508116</v>
      </c>
      <c r="F3">
        <v>23284</v>
      </c>
      <c r="G3">
        <v>614</v>
      </c>
      <c r="H3">
        <v>33728</v>
      </c>
      <c r="I3">
        <v>3.59</v>
      </c>
      <c r="J3">
        <v>75.61</v>
      </c>
      <c r="K3">
        <v>4.74</v>
      </c>
      <c r="L3">
        <v>2118646</v>
      </c>
      <c r="M3">
        <v>323729</v>
      </c>
      <c r="N3">
        <v>15.28</v>
      </c>
      <c r="O3" t="s">
        <v>24</v>
      </c>
      <c r="P3">
        <f>Table1[Active]/Table1[Confirmed]*100</f>
        <v>20.804176262858899</v>
      </c>
      <c r="Q3">
        <f>Table1[New_cases]/Table1[Confirmed_last_week]*100</f>
        <v>1.0990037977085365</v>
      </c>
      <c r="R3">
        <f>Table1[Confirmed]-Table1[Recovered]</f>
        <v>595734</v>
      </c>
      <c r="S3">
        <f>Table1[Deaths]/Table1[Confirmed]*100</f>
        <v>3.5874097957930293</v>
      </c>
      <c r="T3">
        <f>D3:D189/Table1[Deaths]</f>
        <v>21.076046017941518</v>
      </c>
    </row>
    <row r="4" spans="1:20" x14ac:dyDescent="0.25">
      <c r="A4" t="s">
        <v>101</v>
      </c>
      <c r="B4">
        <v>1480073</v>
      </c>
      <c r="C4">
        <v>33408</v>
      </c>
      <c r="D4">
        <v>951166</v>
      </c>
      <c r="E4">
        <v>495499</v>
      </c>
      <c r="F4">
        <v>44457</v>
      </c>
      <c r="G4">
        <v>637</v>
      </c>
      <c r="H4">
        <v>33598</v>
      </c>
      <c r="I4">
        <v>2.2599999999999998</v>
      </c>
      <c r="J4">
        <v>64.260000000000005</v>
      </c>
      <c r="K4">
        <v>3.51</v>
      </c>
      <c r="L4">
        <v>1155338</v>
      </c>
      <c r="M4">
        <v>324735</v>
      </c>
      <c r="N4">
        <v>28.11</v>
      </c>
      <c r="O4" t="s">
        <v>34</v>
      </c>
      <c r="P4">
        <f>Table1[Active]/Table1[Confirmed]*100</f>
        <v>33.478010881895692</v>
      </c>
      <c r="Q4">
        <f>Table1[New_cases]/Table1[Confirmed_last_week]*100</f>
        <v>3.8479648379954607</v>
      </c>
      <c r="R4">
        <f>Table1[Confirmed]-Table1[Recovered]</f>
        <v>528907</v>
      </c>
      <c r="S4">
        <f>Table1[Deaths]/Table1[Confirmed]*100</f>
        <v>2.2571859631247917</v>
      </c>
      <c r="T4">
        <f>D4:D190/Table1[Deaths]</f>
        <v>28.471204501915707</v>
      </c>
    </row>
    <row r="5" spans="1:20" x14ac:dyDescent="0.25">
      <c r="A5" t="s">
        <v>160</v>
      </c>
      <c r="B5">
        <v>816680</v>
      </c>
      <c r="C5">
        <v>13334</v>
      </c>
      <c r="D5">
        <v>602249</v>
      </c>
      <c r="E5">
        <v>201097</v>
      </c>
      <c r="F5">
        <v>5607</v>
      </c>
      <c r="G5">
        <v>85</v>
      </c>
      <c r="H5">
        <v>3077</v>
      </c>
      <c r="I5">
        <v>1.63</v>
      </c>
      <c r="J5">
        <v>73.739999999999995</v>
      </c>
      <c r="K5">
        <v>2.21</v>
      </c>
      <c r="L5">
        <v>776212</v>
      </c>
      <c r="M5">
        <v>40468</v>
      </c>
      <c r="N5">
        <v>5.21</v>
      </c>
      <c r="O5" t="s">
        <v>18</v>
      </c>
      <c r="P5">
        <f>Table1[Active]/Table1[Confirmed]*100</f>
        <v>24.62372042905422</v>
      </c>
      <c r="Q5">
        <f>Table1[New_cases]/Table1[Confirmed_last_week]*100</f>
        <v>0.72235420220249114</v>
      </c>
      <c r="R5">
        <f>Table1[Confirmed]-Table1[Recovered]</f>
        <v>214431</v>
      </c>
      <c r="S5">
        <f>Table1[Deaths]/Table1[Confirmed]*100</f>
        <v>1.6327080374197971</v>
      </c>
      <c r="T5">
        <f>D5:D191/Table1[Deaths]</f>
        <v>45.166416679166041</v>
      </c>
    </row>
    <row r="6" spans="1:20" x14ac:dyDescent="0.25">
      <c r="A6" t="s">
        <v>176</v>
      </c>
      <c r="B6">
        <v>452529</v>
      </c>
      <c r="C6">
        <v>7067</v>
      </c>
      <c r="D6">
        <v>274925</v>
      </c>
      <c r="E6">
        <v>170537</v>
      </c>
      <c r="F6">
        <v>7096</v>
      </c>
      <c r="G6">
        <v>298</v>
      </c>
      <c r="H6">
        <v>9848</v>
      </c>
      <c r="I6">
        <v>1.56</v>
      </c>
      <c r="J6">
        <v>60.75</v>
      </c>
      <c r="K6">
        <v>2.57</v>
      </c>
      <c r="L6">
        <v>373628</v>
      </c>
      <c r="M6">
        <v>78901</v>
      </c>
      <c r="N6">
        <v>21.12</v>
      </c>
      <c r="O6" t="s">
        <v>20</v>
      </c>
      <c r="P6">
        <f>Table1[Active]/Table1[Confirmed]*100</f>
        <v>37.68531961487551</v>
      </c>
      <c r="Q6">
        <f>Table1[New_cases]/Table1[Confirmed_last_week]*100</f>
        <v>1.8992152622394467</v>
      </c>
      <c r="R6">
        <f>Table1[Confirmed]-Table1[Recovered]</f>
        <v>177604</v>
      </c>
      <c r="S6">
        <f>Table1[Deaths]/Table1[Confirmed]*100</f>
        <v>1.5616678710093719</v>
      </c>
      <c r="T6">
        <f>D6:D192/Table1[Deaths]</f>
        <v>38.902646101598982</v>
      </c>
    </row>
    <row r="7" spans="1:20" x14ac:dyDescent="0.25">
      <c r="A7" t="s">
        <v>133</v>
      </c>
      <c r="B7">
        <v>395489</v>
      </c>
      <c r="C7">
        <v>44022</v>
      </c>
      <c r="D7">
        <v>303810</v>
      </c>
      <c r="E7">
        <v>47657</v>
      </c>
      <c r="F7">
        <v>4973</v>
      </c>
      <c r="G7">
        <v>342</v>
      </c>
      <c r="H7">
        <v>8588</v>
      </c>
      <c r="I7">
        <v>11.13</v>
      </c>
      <c r="J7">
        <v>76.819999999999993</v>
      </c>
      <c r="K7">
        <v>14.49</v>
      </c>
      <c r="L7">
        <v>349396</v>
      </c>
      <c r="M7">
        <v>46093</v>
      </c>
      <c r="N7">
        <v>13.19</v>
      </c>
      <c r="O7" t="s">
        <v>24</v>
      </c>
      <c r="P7">
        <f>Table1[Active]/Table1[Confirmed]*100</f>
        <v>12.050145516057336</v>
      </c>
      <c r="Q7">
        <f>Table1[New_cases]/Table1[Confirmed_last_week]*100</f>
        <v>1.4233133750815692</v>
      </c>
      <c r="R7">
        <f>Table1[Confirmed]-Table1[Recovered]</f>
        <v>91679</v>
      </c>
      <c r="S7">
        <f>Table1[Deaths]/Table1[Confirmed]*100</f>
        <v>11.131030193001576</v>
      </c>
      <c r="T7">
        <f>D7:D193/Table1[Deaths]</f>
        <v>6.9013220662396071</v>
      </c>
    </row>
    <row r="8" spans="1:20" x14ac:dyDescent="0.25">
      <c r="A8" t="s">
        <v>154</v>
      </c>
      <c r="B8">
        <v>389717</v>
      </c>
      <c r="C8">
        <v>18418</v>
      </c>
      <c r="D8">
        <v>272547</v>
      </c>
      <c r="E8">
        <v>98752</v>
      </c>
      <c r="F8">
        <v>13756</v>
      </c>
      <c r="G8">
        <v>575</v>
      </c>
      <c r="H8">
        <v>4697</v>
      </c>
      <c r="I8">
        <v>4.7300000000000004</v>
      </c>
      <c r="J8">
        <v>69.930000000000007</v>
      </c>
      <c r="K8">
        <v>6.76</v>
      </c>
      <c r="L8">
        <v>357681</v>
      </c>
      <c r="M8">
        <v>32036</v>
      </c>
      <c r="N8">
        <v>8.9600000000000009</v>
      </c>
      <c r="O8" t="s">
        <v>24</v>
      </c>
      <c r="P8">
        <f>Table1[Active]/Table1[Confirmed]*100</f>
        <v>25.339412958634082</v>
      </c>
      <c r="Q8">
        <f>Table1[New_cases]/Table1[Confirmed_last_week]*100</f>
        <v>3.8458850204511839</v>
      </c>
      <c r="R8">
        <f>Table1[Confirmed]-Table1[Recovered]</f>
        <v>117170</v>
      </c>
      <c r="S8">
        <f>Table1[Deaths]/Table1[Confirmed]*100</f>
        <v>4.7259934773181564</v>
      </c>
      <c r="T8">
        <f>D8:D194/Table1[Deaths]</f>
        <v>14.797860788359214</v>
      </c>
    </row>
    <row r="9" spans="1:20" x14ac:dyDescent="0.25">
      <c r="A9" t="s">
        <v>57</v>
      </c>
      <c r="B9">
        <v>347923</v>
      </c>
      <c r="C9">
        <v>9187</v>
      </c>
      <c r="D9">
        <v>319954</v>
      </c>
      <c r="E9">
        <v>18782</v>
      </c>
      <c r="F9">
        <v>2133</v>
      </c>
      <c r="G9">
        <v>75</v>
      </c>
      <c r="H9">
        <v>1859</v>
      </c>
      <c r="I9">
        <v>2.64</v>
      </c>
      <c r="J9">
        <v>91.96</v>
      </c>
      <c r="K9">
        <v>2.87</v>
      </c>
      <c r="L9">
        <v>333029</v>
      </c>
      <c r="M9">
        <v>14894</v>
      </c>
      <c r="N9">
        <v>4.47</v>
      </c>
      <c r="O9" t="s">
        <v>24</v>
      </c>
      <c r="P9">
        <f>Table1[Active]/Table1[Confirmed]*100</f>
        <v>5.3983208928412321</v>
      </c>
      <c r="Q9">
        <f>Table1[New_cases]/Table1[Confirmed_last_week]*100</f>
        <v>0.64048476258824305</v>
      </c>
      <c r="R9">
        <f>Table1[Confirmed]-Table1[Recovered]</f>
        <v>27969</v>
      </c>
      <c r="S9">
        <f>Table1[Deaths]/Table1[Confirmed]*100</f>
        <v>2.6405267832250239</v>
      </c>
      <c r="T9">
        <f>D9:D195/Table1[Deaths]</f>
        <v>34.826820507238487</v>
      </c>
    </row>
    <row r="10" spans="1:20" x14ac:dyDescent="0.25">
      <c r="A10" t="s">
        <v>199</v>
      </c>
      <c r="B10">
        <v>301708</v>
      </c>
      <c r="C10">
        <v>45844</v>
      </c>
      <c r="D10">
        <v>1437</v>
      </c>
      <c r="E10">
        <v>254427</v>
      </c>
      <c r="F10">
        <v>688</v>
      </c>
      <c r="G10">
        <v>7</v>
      </c>
      <c r="H10">
        <v>3</v>
      </c>
      <c r="I10">
        <v>15.19</v>
      </c>
      <c r="J10">
        <v>0.48</v>
      </c>
      <c r="K10">
        <v>3190.26</v>
      </c>
      <c r="L10">
        <v>296944</v>
      </c>
      <c r="M10">
        <v>4764</v>
      </c>
      <c r="N10">
        <v>1.6</v>
      </c>
      <c r="O10" t="s">
        <v>18</v>
      </c>
      <c r="P10">
        <f>Table1[Active]/Table1[Confirmed]*100</f>
        <v>84.32888753364179</v>
      </c>
      <c r="Q10">
        <f>Table1[New_cases]/Table1[Confirmed_last_week]*100</f>
        <v>0.23169351796971821</v>
      </c>
      <c r="R10">
        <f>Table1[Confirmed]-Table1[Recovered]</f>
        <v>300271</v>
      </c>
      <c r="S10">
        <f>Table1[Deaths]/Table1[Confirmed]*100</f>
        <v>15.194824134593713</v>
      </c>
      <c r="T10">
        <f>D10:D196/Table1[Deaths]</f>
        <v>3.1345432335747318E-2</v>
      </c>
    </row>
    <row r="11" spans="1:20" x14ac:dyDescent="0.25">
      <c r="A11" t="s">
        <v>103</v>
      </c>
      <c r="B11">
        <v>293606</v>
      </c>
      <c r="C11">
        <v>15912</v>
      </c>
      <c r="D11">
        <v>255144</v>
      </c>
      <c r="E11">
        <v>22550</v>
      </c>
      <c r="F11">
        <v>2434</v>
      </c>
      <c r="G11">
        <v>212</v>
      </c>
      <c r="H11">
        <v>1931</v>
      </c>
      <c r="I11">
        <v>5.42</v>
      </c>
      <c r="J11">
        <v>86.9</v>
      </c>
      <c r="K11">
        <v>6.24</v>
      </c>
      <c r="L11">
        <v>276202</v>
      </c>
      <c r="M11">
        <v>17404</v>
      </c>
      <c r="N11">
        <v>6.3</v>
      </c>
      <c r="O11" t="s">
        <v>16</v>
      </c>
      <c r="P11">
        <f>Table1[Active]/Table1[Confirmed]*100</f>
        <v>7.6803607555703906</v>
      </c>
      <c r="Q11">
        <f>Table1[New_cases]/Table1[Confirmed_last_week]*100</f>
        <v>0.88123909312749371</v>
      </c>
      <c r="R11">
        <f>Table1[Confirmed]-Table1[Recovered]</f>
        <v>38462</v>
      </c>
      <c r="S11">
        <f>Table1[Deaths]/Table1[Confirmed]*100</f>
        <v>5.4195077757266539</v>
      </c>
      <c r="T11">
        <f>D11:D197/Table1[Deaths]</f>
        <v>16.034690799396682</v>
      </c>
    </row>
    <row r="12" spans="1:20" x14ac:dyDescent="0.25">
      <c r="A12" t="s">
        <v>150</v>
      </c>
      <c r="B12">
        <v>274289</v>
      </c>
      <c r="C12">
        <v>5842</v>
      </c>
      <c r="D12">
        <v>241026</v>
      </c>
      <c r="E12">
        <v>27421</v>
      </c>
      <c r="F12">
        <v>1176</v>
      </c>
      <c r="G12">
        <v>20</v>
      </c>
      <c r="H12">
        <v>3592</v>
      </c>
      <c r="I12">
        <v>2.13</v>
      </c>
      <c r="J12">
        <v>87.87</v>
      </c>
      <c r="K12">
        <v>2.42</v>
      </c>
      <c r="L12">
        <v>266096</v>
      </c>
      <c r="M12">
        <v>8193</v>
      </c>
      <c r="N12">
        <v>3.08</v>
      </c>
      <c r="O12" t="s">
        <v>16</v>
      </c>
      <c r="P12">
        <f>Table1[Active]/Table1[Confirmed]*100</f>
        <v>9.9971198261687491</v>
      </c>
      <c r="Q12">
        <f>Table1[New_cases]/Table1[Confirmed_last_week]*100</f>
        <v>0.44194576393482055</v>
      </c>
      <c r="R12">
        <f>Table1[Confirmed]-Table1[Recovered]</f>
        <v>33263</v>
      </c>
      <c r="S12">
        <f>Table1[Deaths]/Table1[Confirmed]*100</f>
        <v>2.1298703192618005</v>
      </c>
      <c r="T12">
        <f>D12:D198/Table1[Deaths]</f>
        <v>41.257446080109553</v>
      </c>
    </row>
    <row r="13" spans="1:20" x14ac:dyDescent="0.25">
      <c r="A13" t="s">
        <v>179</v>
      </c>
      <c r="B13">
        <v>272421</v>
      </c>
      <c r="C13">
        <v>28432</v>
      </c>
      <c r="D13">
        <v>150376</v>
      </c>
      <c r="E13">
        <v>93613</v>
      </c>
      <c r="F13">
        <v>0</v>
      </c>
      <c r="G13">
        <v>0</v>
      </c>
      <c r="H13">
        <v>0</v>
      </c>
      <c r="I13">
        <v>10.44</v>
      </c>
      <c r="J13">
        <v>55.2</v>
      </c>
      <c r="K13">
        <v>18.91</v>
      </c>
      <c r="L13">
        <v>264836</v>
      </c>
      <c r="M13">
        <v>7585</v>
      </c>
      <c r="N13">
        <v>2.86</v>
      </c>
      <c r="O13" t="s">
        <v>18</v>
      </c>
      <c r="P13">
        <f>Table1[Active]/Table1[Confirmed]*100</f>
        <v>34.363356716259027</v>
      </c>
      <c r="Q13">
        <f>Table1[New_cases]/Table1[Confirmed_last_week]*100</f>
        <v>0</v>
      </c>
      <c r="R13">
        <f>Table1[Confirmed]-Table1[Recovered]</f>
        <v>122045</v>
      </c>
      <c r="S13">
        <f>Table1[Deaths]/Table1[Confirmed]*100</f>
        <v>10.436787178668311</v>
      </c>
      <c r="T13">
        <f>D13:D199/Table1[Deaths]</f>
        <v>5.2889701744513227</v>
      </c>
    </row>
    <row r="14" spans="1:20" x14ac:dyDescent="0.25">
      <c r="A14" t="s">
        <v>167</v>
      </c>
      <c r="B14">
        <v>268934</v>
      </c>
      <c r="C14">
        <v>2760</v>
      </c>
      <c r="D14">
        <v>222936</v>
      </c>
      <c r="E14">
        <v>43238</v>
      </c>
      <c r="F14">
        <v>1993</v>
      </c>
      <c r="G14">
        <v>27</v>
      </c>
      <c r="H14">
        <v>2613</v>
      </c>
      <c r="I14">
        <v>1.03</v>
      </c>
      <c r="J14">
        <v>82.9</v>
      </c>
      <c r="K14">
        <v>1.24</v>
      </c>
      <c r="L14">
        <v>253349</v>
      </c>
      <c r="M14">
        <v>15585</v>
      </c>
      <c r="N14">
        <v>6.15</v>
      </c>
      <c r="O14" t="s">
        <v>16</v>
      </c>
      <c r="P14">
        <f>Table1[Active]/Table1[Confirmed]*100</f>
        <v>16.077550625804101</v>
      </c>
      <c r="Q14">
        <f>Table1[New_cases]/Table1[Confirmed_last_week]*100</f>
        <v>0.78666187748915528</v>
      </c>
      <c r="R14">
        <f>Table1[Confirmed]-Table1[Recovered]</f>
        <v>45998</v>
      </c>
      <c r="S14">
        <f>Table1[Deaths]/Table1[Confirmed]*100</f>
        <v>1.0262741044271086</v>
      </c>
      <c r="T14">
        <f>D14:D200/Table1[Deaths]</f>
        <v>80.77391304347826</v>
      </c>
    </row>
    <row r="15" spans="1:20" x14ac:dyDescent="0.25">
      <c r="A15" t="s">
        <v>59</v>
      </c>
      <c r="B15">
        <v>257101</v>
      </c>
      <c r="C15">
        <v>8777</v>
      </c>
      <c r="D15">
        <v>131161</v>
      </c>
      <c r="E15">
        <v>117163</v>
      </c>
      <c r="F15">
        <v>16306</v>
      </c>
      <c r="G15">
        <v>508</v>
      </c>
      <c r="H15">
        <v>11494</v>
      </c>
      <c r="I15">
        <v>3.41</v>
      </c>
      <c r="J15">
        <v>51.02</v>
      </c>
      <c r="K15">
        <v>6.69</v>
      </c>
      <c r="L15">
        <v>204005</v>
      </c>
      <c r="M15">
        <v>53096</v>
      </c>
      <c r="N15">
        <v>26.03</v>
      </c>
      <c r="O15" t="s">
        <v>24</v>
      </c>
      <c r="P15">
        <f>Table1[Active]/Table1[Confirmed]*100</f>
        <v>45.57080680355191</v>
      </c>
      <c r="Q15">
        <f>Table1[New_cases]/Table1[Confirmed_last_week]*100</f>
        <v>7.9929413494767285</v>
      </c>
      <c r="R15">
        <f>Table1[Confirmed]-Table1[Recovered]</f>
        <v>125940</v>
      </c>
      <c r="S15">
        <f>Table1[Deaths]/Table1[Confirmed]*100</f>
        <v>3.4138334740043796</v>
      </c>
      <c r="T15">
        <f>D15:D201/Table1[Deaths]</f>
        <v>14.943716531844593</v>
      </c>
    </row>
    <row r="16" spans="1:20" x14ac:dyDescent="0.25">
      <c r="A16" t="s">
        <v>107</v>
      </c>
      <c r="B16">
        <v>246286</v>
      </c>
      <c r="C16">
        <v>35112</v>
      </c>
      <c r="D16">
        <v>198593</v>
      </c>
      <c r="E16">
        <v>12581</v>
      </c>
      <c r="F16">
        <v>168</v>
      </c>
      <c r="G16">
        <v>5</v>
      </c>
      <c r="H16">
        <v>147</v>
      </c>
      <c r="I16">
        <v>14.26</v>
      </c>
      <c r="J16">
        <v>80.64</v>
      </c>
      <c r="K16">
        <v>17.68</v>
      </c>
      <c r="L16">
        <v>244624</v>
      </c>
      <c r="M16">
        <v>1662</v>
      </c>
      <c r="N16">
        <v>0.68</v>
      </c>
      <c r="O16" t="s">
        <v>18</v>
      </c>
      <c r="P16">
        <f>Table1[Active]/Table1[Confirmed]*100</f>
        <v>5.1082887374840631</v>
      </c>
      <c r="Q16">
        <f>Table1[New_cases]/Table1[Confirmed_last_week]*100</f>
        <v>6.8676826476551767E-2</v>
      </c>
      <c r="R16">
        <f>Table1[Confirmed]-Table1[Recovered]</f>
        <v>47693</v>
      </c>
      <c r="S16">
        <f>Table1[Deaths]/Table1[Confirmed]*100</f>
        <v>14.256595990027854</v>
      </c>
      <c r="T16">
        <f>D16:D202/Table1[Deaths]</f>
        <v>5.6559865573023469</v>
      </c>
    </row>
    <row r="17" spans="1:20" x14ac:dyDescent="0.25">
      <c r="A17" t="s">
        <v>194</v>
      </c>
      <c r="B17">
        <v>227019</v>
      </c>
      <c r="C17">
        <v>5630</v>
      </c>
      <c r="D17">
        <v>210469</v>
      </c>
      <c r="E17">
        <v>10920</v>
      </c>
      <c r="F17">
        <v>919</v>
      </c>
      <c r="G17">
        <v>17</v>
      </c>
      <c r="H17">
        <v>982</v>
      </c>
      <c r="I17">
        <v>2.48</v>
      </c>
      <c r="J17">
        <v>92.71</v>
      </c>
      <c r="K17">
        <v>2.67</v>
      </c>
      <c r="L17">
        <v>220572</v>
      </c>
      <c r="M17">
        <v>6447</v>
      </c>
      <c r="N17">
        <v>2.92</v>
      </c>
      <c r="O17" t="s">
        <v>18</v>
      </c>
      <c r="P17">
        <f>Table1[Active]/Table1[Confirmed]*100</f>
        <v>4.8101700738704691</v>
      </c>
      <c r="Q17">
        <f>Table1[New_cases]/Table1[Confirmed_last_week]*100</f>
        <v>0.41664399833161059</v>
      </c>
      <c r="R17">
        <f>Table1[Confirmed]-Table1[Recovered]</f>
        <v>16550</v>
      </c>
      <c r="S17">
        <f>Table1[Deaths]/Table1[Confirmed]*100</f>
        <v>2.4799686369863316</v>
      </c>
      <c r="T17">
        <f>D17:D203/Table1[Deaths]</f>
        <v>37.383481349911193</v>
      </c>
    </row>
    <row r="18" spans="1:20" x14ac:dyDescent="0.25">
      <c r="A18" t="s">
        <v>33</v>
      </c>
      <c r="B18">
        <v>226225</v>
      </c>
      <c r="C18">
        <v>2965</v>
      </c>
      <c r="D18">
        <v>125683</v>
      </c>
      <c r="E18">
        <v>97577</v>
      </c>
      <c r="F18">
        <v>2772</v>
      </c>
      <c r="G18">
        <v>37</v>
      </c>
      <c r="H18">
        <v>1801</v>
      </c>
      <c r="I18">
        <v>1.31</v>
      </c>
      <c r="J18">
        <v>55.56</v>
      </c>
      <c r="K18">
        <v>2.36</v>
      </c>
      <c r="L18">
        <v>207453</v>
      </c>
      <c r="M18">
        <v>18772</v>
      </c>
      <c r="N18">
        <v>9.0500000000000007</v>
      </c>
      <c r="O18" t="s">
        <v>34</v>
      </c>
      <c r="P18">
        <f>Table1[Active]/Table1[Confirmed]*100</f>
        <v>43.132721847717981</v>
      </c>
      <c r="Q18">
        <f>Table1[New_cases]/Table1[Confirmed_last_week]*100</f>
        <v>1.3362062732281528</v>
      </c>
      <c r="R18">
        <f>Table1[Confirmed]-Table1[Recovered]</f>
        <v>100542</v>
      </c>
      <c r="S18">
        <f>Table1[Deaths]/Table1[Confirmed]*100</f>
        <v>1.310642059896121</v>
      </c>
      <c r="T18">
        <f>D18:D204/Table1[Deaths]</f>
        <v>42.388870151770661</v>
      </c>
    </row>
    <row r="19" spans="1:20" x14ac:dyDescent="0.25">
      <c r="A19" t="s">
        <v>83</v>
      </c>
      <c r="B19">
        <v>220352</v>
      </c>
      <c r="C19">
        <v>30212</v>
      </c>
      <c r="D19">
        <v>81212</v>
      </c>
      <c r="E19">
        <v>108928</v>
      </c>
      <c r="F19">
        <v>2551</v>
      </c>
      <c r="G19">
        <v>17</v>
      </c>
      <c r="H19">
        <v>267</v>
      </c>
      <c r="I19">
        <v>13.71</v>
      </c>
      <c r="J19">
        <v>36.86</v>
      </c>
      <c r="K19">
        <v>37.200000000000003</v>
      </c>
      <c r="L19">
        <v>214023</v>
      </c>
      <c r="M19">
        <v>6329</v>
      </c>
      <c r="N19">
        <v>2.96</v>
      </c>
      <c r="O19" t="s">
        <v>18</v>
      </c>
      <c r="P19">
        <f>Table1[Active]/Table1[Confirmed]*100</f>
        <v>49.433633459192563</v>
      </c>
      <c r="Q19">
        <f>Table1[New_cases]/Table1[Confirmed_last_week]*100</f>
        <v>1.1919279703583259</v>
      </c>
      <c r="R19">
        <f>Table1[Confirmed]-Table1[Recovered]</f>
        <v>139140</v>
      </c>
      <c r="S19">
        <f>Table1[Deaths]/Table1[Confirmed]*100</f>
        <v>13.71079000871333</v>
      </c>
      <c r="T19">
        <f>D19:D205/Table1[Deaths]</f>
        <v>2.6880709651793988</v>
      </c>
    </row>
    <row r="20" spans="1:20" x14ac:dyDescent="0.25">
      <c r="A20" t="s">
        <v>87</v>
      </c>
      <c r="B20">
        <v>207112</v>
      </c>
      <c r="C20">
        <v>9125</v>
      </c>
      <c r="D20">
        <v>190314</v>
      </c>
      <c r="E20">
        <v>7673</v>
      </c>
      <c r="F20">
        <v>445</v>
      </c>
      <c r="G20">
        <v>1</v>
      </c>
      <c r="H20">
        <v>259</v>
      </c>
      <c r="I20">
        <v>4.41</v>
      </c>
      <c r="J20">
        <v>91.89</v>
      </c>
      <c r="K20">
        <v>4.79</v>
      </c>
      <c r="L20">
        <v>203325</v>
      </c>
      <c r="M20">
        <v>3787</v>
      </c>
      <c r="N20">
        <v>1.86</v>
      </c>
      <c r="O20" t="s">
        <v>18</v>
      </c>
      <c r="P20">
        <f>Table1[Active]/Table1[Confirmed]*100</f>
        <v>3.7047587778593223</v>
      </c>
      <c r="Q20">
        <f>Table1[New_cases]/Table1[Confirmed_last_week]*100</f>
        <v>0.21886142874707978</v>
      </c>
      <c r="R20">
        <f>Table1[Confirmed]-Table1[Recovered]</f>
        <v>16798</v>
      </c>
      <c r="S20">
        <f>Table1[Deaths]/Table1[Confirmed]*100</f>
        <v>4.4058287303487962</v>
      </c>
      <c r="T20">
        <f>D20:D206/Table1[Deaths]</f>
        <v>20.856328767123287</v>
      </c>
    </row>
    <row r="21" spans="1:20" x14ac:dyDescent="0.25">
      <c r="A21" t="s">
        <v>25</v>
      </c>
      <c r="B21">
        <v>167416</v>
      </c>
      <c r="C21">
        <v>3059</v>
      </c>
      <c r="D21">
        <v>72575</v>
      </c>
      <c r="E21">
        <v>91782</v>
      </c>
      <c r="F21">
        <v>4890</v>
      </c>
      <c r="G21">
        <v>120</v>
      </c>
      <c r="H21">
        <v>2057</v>
      </c>
      <c r="I21">
        <v>1.83</v>
      </c>
      <c r="J21">
        <v>43.35</v>
      </c>
      <c r="K21">
        <v>4.21</v>
      </c>
      <c r="L21">
        <v>130774</v>
      </c>
      <c r="M21">
        <v>36642</v>
      </c>
      <c r="N21">
        <v>28.02</v>
      </c>
      <c r="O21" t="s">
        <v>24</v>
      </c>
      <c r="P21">
        <f>Table1[Active]/Table1[Confirmed]*100</f>
        <v>54.822717064079896</v>
      </c>
      <c r="Q21">
        <f>Table1[New_cases]/Table1[Confirmed_last_week]*100</f>
        <v>3.7392753911327938</v>
      </c>
      <c r="R21">
        <f>Table1[Confirmed]-Table1[Recovered]</f>
        <v>94841</v>
      </c>
      <c r="S21">
        <f>Table1[Deaths]/Table1[Confirmed]*100</f>
        <v>1.827184976346347</v>
      </c>
      <c r="T21">
        <f>D21:D207/Table1[Deaths]</f>
        <v>23.725073553448841</v>
      </c>
    </row>
    <row r="22" spans="1:20" x14ac:dyDescent="0.25">
      <c r="A22" t="s">
        <v>53</v>
      </c>
      <c r="B22">
        <v>116458</v>
      </c>
      <c r="C22">
        <v>8944</v>
      </c>
      <c r="D22">
        <v>0</v>
      </c>
      <c r="E22">
        <v>107514</v>
      </c>
      <c r="F22">
        <v>682</v>
      </c>
      <c r="G22">
        <v>11</v>
      </c>
      <c r="H22">
        <v>0</v>
      </c>
      <c r="I22">
        <v>7.68</v>
      </c>
      <c r="J22">
        <v>0</v>
      </c>
      <c r="K22" t="s">
        <v>54</v>
      </c>
      <c r="L22">
        <v>112925</v>
      </c>
      <c r="M22">
        <v>3533</v>
      </c>
      <c r="N22">
        <v>3.13</v>
      </c>
      <c r="O22" t="s">
        <v>24</v>
      </c>
      <c r="P22">
        <f>Table1[Active]/Table1[Confirmed]*100</f>
        <v>92.319978017826159</v>
      </c>
      <c r="Q22">
        <f>Table1[New_cases]/Table1[Confirmed_last_week]*100</f>
        <v>0.60394066858534423</v>
      </c>
      <c r="R22">
        <f>Table1[Confirmed]-Table1[Recovered]</f>
        <v>116458</v>
      </c>
      <c r="S22">
        <f>Table1[Deaths]/Table1[Confirmed]*100</f>
        <v>7.6800219821738303</v>
      </c>
      <c r="T22">
        <f>D22:D208/Table1[Deaths]</f>
        <v>0</v>
      </c>
    </row>
    <row r="23" spans="1:20" x14ac:dyDescent="0.25">
      <c r="A23" t="s">
        <v>104</v>
      </c>
      <c r="B23">
        <v>112585</v>
      </c>
      <c r="C23">
        <v>4458</v>
      </c>
      <c r="D23">
        <v>77144</v>
      </c>
      <c r="E23">
        <v>30983</v>
      </c>
      <c r="F23">
        <v>2553</v>
      </c>
      <c r="G23">
        <v>96</v>
      </c>
      <c r="H23">
        <v>1927</v>
      </c>
      <c r="I23">
        <v>3.96</v>
      </c>
      <c r="J23">
        <v>68.52</v>
      </c>
      <c r="K23">
        <v>5.78</v>
      </c>
      <c r="L23">
        <v>94693</v>
      </c>
      <c r="M23">
        <v>17892</v>
      </c>
      <c r="N23">
        <v>18.89</v>
      </c>
      <c r="O23" t="s">
        <v>16</v>
      </c>
      <c r="P23">
        <f>Table1[Active]/Table1[Confirmed]*100</f>
        <v>27.519651818625928</v>
      </c>
      <c r="Q23">
        <f>Table1[New_cases]/Table1[Confirmed_last_week]*100</f>
        <v>2.6960810197163463</v>
      </c>
      <c r="R23">
        <f>Table1[Confirmed]-Table1[Recovered]</f>
        <v>35441</v>
      </c>
      <c r="S23">
        <f>Table1[Deaths]/Table1[Confirmed]*100</f>
        <v>3.9596749122884933</v>
      </c>
      <c r="T23">
        <f>D23:D209/Table1[Deaths]</f>
        <v>17.304620906235979</v>
      </c>
    </row>
    <row r="24" spans="1:20" x14ac:dyDescent="0.25">
      <c r="A24" t="s">
        <v>158</v>
      </c>
      <c r="B24">
        <v>109597</v>
      </c>
      <c r="C24">
        <v>165</v>
      </c>
      <c r="D24">
        <v>106328</v>
      </c>
      <c r="E24">
        <v>3104</v>
      </c>
      <c r="F24">
        <v>292</v>
      </c>
      <c r="G24">
        <v>0</v>
      </c>
      <c r="H24">
        <v>304</v>
      </c>
      <c r="I24">
        <v>0.15</v>
      </c>
      <c r="J24">
        <v>97.02</v>
      </c>
      <c r="K24">
        <v>0.16</v>
      </c>
      <c r="L24">
        <v>107037</v>
      </c>
      <c r="M24">
        <v>2560</v>
      </c>
      <c r="N24">
        <v>2.39</v>
      </c>
      <c r="O24" t="s">
        <v>16</v>
      </c>
      <c r="P24">
        <f>Table1[Active]/Table1[Confirmed]*100</f>
        <v>2.8321943118880992</v>
      </c>
      <c r="Q24">
        <f>Table1[New_cases]/Table1[Confirmed_last_week]*100</f>
        <v>0.27280286256154412</v>
      </c>
      <c r="R24">
        <f>Table1[Confirmed]-Table1[Recovered]</f>
        <v>3269</v>
      </c>
      <c r="S24">
        <f>Table1[Deaths]/Table1[Confirmed]*100</f>
        <v>0.15055156619250529</v>
      </c>
      <c r="T24">
        <f>D24:D210/Table1[Deaths]</f>
        <v>644.41212121212118</v>
      </c>
    </row>
    <row r="25" spans="1:20" x14ac:dyDescent="0.25">
      <c r="A25" t="s">
        <v>102</v>
      </c>
      <c r="B25">
        <v>100303</v>
      </c>
      <c r="C25">
        <v>4838</v>
      </c>
      <c r="D25">
        <v>58173</v>
      </c>
      <c r="E25">
        <v>37292</v>
      </c>
      <c r="F25">
        <v>1525</v>
      </c>
      <c r="G25">
        <v>57</v>
      </c>
      <c r="H25">
        <v>1518</v>
      </c>
      <c r="I25">
        <v>4.82</v>
      </c>
      <c r="J25">
        <v>58</v>
      </c>
      <c r="K25">
        <v>8.32</v>
      </c>
      <c r="L25">
        <v>88214</v>
      </c>
      <c r="M25">
        <v>12089</v>
      </c>
      <c r="N25">
        <v>13.7</v>
      </c>
      <c r="O25" t="s">
        <v>34</v>
      </c>
      <c r="P25">
        <f>Table1[Active]/Table1[Confirmed]*100</f>
        <v>37.179346579863015</v>
      </c>
      <c r="Q25">
        <f>Table1[New_cases]/Table1[Confirmed_last_week]*100</f>
        <v>1.7287505384632824</v>
      </c>
      <c r="R25">
        <f>Table1[Confirmed]-Table1[Recovered]</f>
        <v>42130</v>
      </c>
      <c r="S25">
        <f>Table1[Deaths]/Table1[Confirmed]*100</f>
        <v>4.8233851430166599</v>
      </c>
      <c r="T25">
        <f>D25:D211/Table1[Deaths]</f>
        <v>12.024183546920215</v>
      </c>
    </row>
    <row r="26" spans="1:20" x14ac:dyDescent="0.25">
      <c r="A26" t="s">
        <v>74</v>
      </c>
      <c r="B26">
        <v>92482</v>
      </c>
      <c r="C26">
        <v>4652</v>
      </c>
      <c r="D26">
        <v>34838</v>
      </c>
      <c r="E26">
        <v>52992</v>
      </c>
      <c r="F26">
        <v>420</v>
      </c>
      <c r="G26">
        <v>46</v>
      </c>
      <c r="H26">
        <v>1007</v>
      </c>
      <c r="I26">
        <v>5.03</v>
      </c>
      <c r="J26">
        <v>37.67</v>
      </c>
      <c r="K26">
        <v>13.35</v>
      </c>
      <c r="L26">
        <v>88402</v>
      </c>
      <c r="M26">
        <v>4080</v>
      </c>
      <c r="N26">
        <v>4.62</v>
      </c>
      <c r="O26" t="s">
        <v>16</v>
      </c>
      <c r="P26">
        <f>Table1[Active]/Table1[Confirmed]*100</f>
        <v>57.299798879782017</v>
      </c>
      <c r="Q26">
        <f>Table1[New_cases]/Table1[Confirmed_last_week]*100</f>
        <v>0.47510237324947402</v>
      </c>
      <c r="R26">
        <f>Table1[Confirmed]-Table1[Recovered]</f>
        <v>57644</v>
      </c>
      <c r="S26">
        <f>Table1[Deaths]/Table1[Confirmed]*100</f>
        <v>5.0301680326982545</v>
      </c>
      <c r="T26">
        <f>D26:D212/Table1[Deaths]</f>
        <v>7.4888220120378328</v>
      </c>
    </row>
    <row r="27" spans="1:20" x14ac:dyDescent="0.25">
      <c r="A27" t="s">
        <v>58</v>
      </c>
      <c r="B27">
        <v>86783</v>
      </c>
      <c r="C27">
        <v>4656</v>
      </c>
      <c r="D27">
        <v>78869</v>
      </c>
      <c r="E27">
        <v>3258</v>
      </c>
      <c r="F27">
        <v>213</v>
      </c>
      <c r="G27">
        <v>4</v>
      </c>
      <c r="H27">
        <v>7</v>
      </c>
      <c r="I27">
        <v>5.37</v>
      </c>
      <c r="J27">
        <v>90.88</v>
      </c>
      <c r="K27">
        <v>5.9</v>
      </c>
      <c r="L27">
        <v>85622</v>
      </c>
      <c r="M27">
        <v>1161</v>
      </c>
      <c r="N27">
        <v>1.36</v>
      </c>
      <c r="O27" t="s">
        <v>28</v>
      </c>
      <c r="P27">
        <f>Table1[Active]/Table1[Confirmed]*100</f>
        <v>3.7541914891165318</v>
      </c>
      <c r="Q27">
        <f>Table1[New_cases]/Table1[Confirmed_last_week]*100</f>
        <v>0.24876784004111094</v>
      </c>
      <c r="R27">
        <f>Table1[Confirmed]-Table1[Recovered]</f>
        <v>7914</v>
      </c>
      <c r="S27">
        <f>Table1[Deaths]/Table1[Confirmed]*100</f>
        <v>5.3651060691610111</v>
      </c>
      <c r="T27">
        <f>D27:D213/Table1[Deaths]</f>
        <v>16.939218213058421</v>
      </c>
    </row>
    <row r="28" spans="1:20" x14ac:dyDescent="0.25">
      <c r="A28" t="s">
        <v>111</v>
      </c>
      <c r="B28">
        <v>84648</v>
      </c>
      <c r="C28">
        <v>585</v>
      </c>
      <c r="D28">
        <v>54404</v>
      </c>
      <c r="E28">
        <v>29659</v>
      </c>
      <c r="F28">
        <v>1526</v>
      </c>
      <c r="G28">
        <v>0</v>
      </c>
      <c r="H28">
        <v>1833</v>
      </c>
      <c r="I28">
        <v>0.69</v>
      </c>
      <c r="J28">
        <v>64.27</v>
      </c>
      <c r="K28">
        <v>1.08</v>
      </c>
      <c r="L28">
        <v>73468</v>
      </c>
      <c r="M28">
        <v>11180</v>
      </c>
      <c r="N28">
        <v>15.22</v>
      </c>
      <c r="O28" t="s">
        <v>18</v>
      </c>
      <c r="P28">
        <f>Table1[Active]/Table1[Confirmed]*100</f>
        <v>35.03803988280881</v>
      </c>
      <c r="Q28">
        <f>Table1[New_cases]/Table1[Confirmed_last_week]*100</f>
        <v>2.0770947895682474</v>
      </c>
      <c r="R28">
        <f>Table1[Confirmed]-Table1[Recovered]</f>
        <v>30244</v>
      </c>
      <c r="S28">
        <f>Table1[Deaths]/Table1[Confirmed]*100</f>
        <v>0.69109724978735465</v>
      </c>
      <c r="T28">
        <f>D28:D214/Table1[Deaths]</f>
        <v>92.998290598290595</v>
      </c>
    </row>
    <row r="29" spans="1:20" x14ac:dyDescent="0.25">
      <c r="A29" t="s">
        <v>155</v>
      </c>
      <c r="B29">
        <v>82040</v>
      </c>
      <c r="C29">
        <v>1945</v>
      </c>
      <c r="D29">
        <v>26446</v>
      </c>
      <c r="E29">
        <v>53649</v>
      </c>
      <c r="F29">
        <v>1592</v>
      </c>
      <c r="G29">
        <v>13</v>
      </c>
      <c r="H29">
        <v>336</v>
      </c>
      <c r="I29">
        <v>2.37</v>
      </c>
      <c r="J29">
        <v>32.24</v>
      </c>
      <c r="K29">
        <v>7.35</v>
      </c>
      <c r="L29">
        <v>68898</v>
      </c>
      <c r="M29">
        <v>13142</v>
      </c>
      <c r="N29">
        <v>19.07</v>
      </c>
      <c r="O29" t="s">
        <v>28</v>
      </c>
      <c r="P29">
        <f>Table1[Active]/Table1[Confirmed]*100</f>
        <v>65.393710385177968</v>
      </c>
      <c r="Q29">
        <f>Table1[New_cases]/Table1[Confirmed_last_week]*100</f>
        <v>2.3106621382333303</v>
      </c>
      <c r="R29">
        <f>Table1[Confirmed]-Table1[Recovered]</f>
        <v>55594</v>
      </c>
      <c r="S29">
        <f>Table1[Deaths]/Table1[Confirmed]*100</f>
        <v>2.3707947342759628</v>
      </c>
      <c r="T29">
        <f>D29:D215/Table1[Deaths]</f>
        <v>13.596915167095116</v>
      </c>
    </row>
    <row r="30" spans="1:20" x14ac:dyDescent="0.25">
      <c r="A30" t="s">
        <v>73</v>
      </c>
      <c r="B30">
        <v>81161</v>
      </c>
      <c r="C30">
        <v>5532</v>
      </c>
      <c r="D30">
        <v>34896</v>
      </c>
      <c r="E30">
        <v>40733</v>
      </c>
      <c r="F30">
        <v>467</v>
      </c>
      <c r="G30">
        <v>17</v>
      </c>
      <c r="H30">
        <v>0</v>
      </c>
      <c r="I30">
        <v>6.82</v>
      </c>
      <c r="J30">
        <v>43</v>
      </c>
      <c r="K30">
        <v>15.85</v>
      </c>
      <c r="L30">
        <v>74620</v>
      </c>
      <c r="M30">
        <v>6541</v>
      </c>
      <c r="N30">
        <v>8.77</v>
      </c>
      <c r="O30" t="s">
        <v>24</v>
      </c>
      <c r="P30">
        <f>Table1[Active]/Table1[Confirmed]*100</f>
        <v>50.187898128411433</v>
      </c>
      <c r="Q30">
        <f>Table1[New_cases]/Table1[Confirmed_last_week]*100</f>
        <v>0.62583757705708931</v>
      </c>
      <c r="R30">
        <f>Table1[Confirmed]-Table1[Recovered]</f>
        <v>46265</v>
      </c>
      <c r="S30">
        <f>Table1[Deaths]/Table1[Confirmed]*100</f>
        <v>6.8160816155542685</v>
      </c>
      <c r="T30">
        <f>D30:D216/Table1[Deaths]</f>
        <v>6.3080260303687634</v>
      </c>
    </row>
    <row r="31" spans="1:20" x14ac:dyDescent="0.25">
      <c r="A31" t="s">
        <v>183</v>
      </c>
      <c r="B31">
        <v>79395</v>
      </c>
      <c r="C31">
        <v>5700</v>
      </c>
      <c r="D31">
        <v>0</v>
      </c>
      <c r="E31">
        <v>73695</v>
      </c>
      <c r="F31">
        <v>398</v>
      </c>
      <c r="G31">
        <v>3</v>
      </c>
      <c r="H31">
        <v>0</v>
      </c>
      <c r="I31">
        <v>7.18</v>
      </c>
      <c r="J31">
        <v>0</v>
      </c>
      <c r="K31" t="s">
        <v>54</v>
      </c>
      <c r="L31">
        <v>78048</v>
      </c>
      <c r="M31">
        <v>1347</v>
      </c>
      <c r="N31">
        <v>1.73</v>
      </c>
      <c r="O31" t="s">
        <v>18</v>
      </c>
      <c r="P31">
        <f>Table1[Active]/Table1[Confirmed]*100</f>
        <v>92.820706593614204</v>
      </c>
      <c r="Q31">
        <f>Table1[New_cases]/Table1[Confirmed_last_week]*100</f>
        <v>0.50994259942599429</v>
      </c>
      <c r="R31">
        <f>Table1[Confirmed]-Table1[Recovered]</f>
        <v>79395</v>
      </c>
      <c r="S31">
        <f>Table1[Deaths]/Table1[Confirmed]*100</f>
        <v>7.1792934063857921</v>
      </c>
      <c r="T31">
        <f>D31:D217/Table1[Deaths]</f>
        <v>0</v>
      </c>
    </row>
    <row r="32" spans="1:20" x14ac:dyDescent="0.25">
      <c r="A32" t="s">
        <v>149</v>
      </c>
      <c r="B32">
        <v>77058</v>
      </c>
      <c r="C32">
        <v>393</v>
      </c>
      <c r="D32">
        <v>57028</v>
      </c>
      <c r="E32">
        <v>19637</v>
      </c>
      <c r="F32">
        <v>1053</v>
      </c>
      <c r="G32">
        <v>9</v>
      </c>
      <c r="H32">
        <v>1729</v>
      </c>
      <c r="I32">
        <v>0.51</v>
      </c>
      <c r="J32">
        <v>74.010000000000005</v>
      </c>
      <c r="K32">
        <v>0.69</v>
      </c>
      <c r="L32">
        <v>68400</v>
      </c>
      <c r="M32">
        <v>8658</v>
      </c>
      <c r="N32">
        <v>12.66</v>
      </c>
      <c r="O32" t="s">
        <v>16</v>
      </c>
      <c r="P32">
        <f>Table1[Active]/Table1[Confirmed]*100</f>
        <v>25.483402112694336</v>
      </c>
      <c r="Q32">
        <f>Table1[New_cases]/Table1[Confirmed_last_week]*100</f>
        <v>1.5394736842105263</v>
      </c>
      <c r="R32">
        <f>Table1[Confirmed]-Table1[Recovered]</f>
        <v>20030</v>
      </c>
      <c r="S32">
        <f>Table1[Deaths]/Table1[Confirmed]*100</f>
        <v>0.51000545043992829</v>
      </c>
      <c r="T32">
        <f>D32:D218/Table1[Deaths]</f>
        <v>145.10941475826971</v>
      </c>
    </row>
    <row r="33" spans="1:20" x14ac:dyDescent="0.25">
      <c r="A33" t="s">
        <v>41</v>
      </c>
      <c r="B33">
        <v>71181</v>
      </c>
      <c r="C33">
        <v>2647</v>
      </c>
      <c r="D33">
        <v>21478</v>
      </c>
      <c r="E33">
        <v>47056</v>
      </c>
      <c r="F33">
        <v>1752</v>
      </c>
      <c r="G33">
        <v>64</v>
      </c>
      <c r="H33">
        <v>309</v>
      </c>
      <c r="I33">
        <v>3.72</v>
      </c>
      <c r="J33">
        <v>30.17</v>
      </c>
      <c r="K33">
        <v>12.32</v>
      </c>
      <c r="L33">
        <v>60991</v>
      </c>
      <c r="M33">
        <v>10190</v>
      </c>
      <c r="N33">
        <v>16.71</v>
      </c>
      <c r="O33" t="s">
        <v>24</v>
      </c>
      <c r="P33">
        <f>Table1[Active]/Table1[Confirmed]*100</f>
        <v>66.10752869445497</v>
      </c>
      <c r="Q33">
        <f>Table1[New_cases]/Table1[Confirmed_last_week]*100</f>
        <v>2.8725549671262973</v>
      </c>
      <c r="R33">
        <f>Table1[Confirmed]-Table1[Recovered]</f>
        <v>49703</v>
      </c>
      <c r="S33">
        <f>Table1[Deaths]/Table1[Confirmed]*100</f>
        <v>3.718688975990784</v>
      </c>
      <c r="T33">
        <f>D33:D219/Table1[Deaths]</f>
        <v>8.1140914242538731</v>
      </c>
    </row>
    <row r="34" spans="1:20" x14ac:dyDescent="0.25">
      <c r="A34" t="s">
        <v>36</v>
      </c>
      <c r="B34">
        <v>67251</v>
      </c>
      <c r="C34">
        <v>538</v>
      </c>
      <c r="D34">
        <v>60492</v>
      </c>
      <c r="E34">
        <v>6221</v>
      </c>
      <c r="F34">
        <v>119</v>
      </c>
      <c r="G34">
        <v>4</v>
      </c>
      <c r="H34">
        <v>67</v>
      </c>
      <c r="I34">
        <v>0.8</v>
      </c>
      <c r="J34">
        <v>89.95</v>
      </c>
      <c r="K34">
        <v>0.89</v>
      </c>
      <c r="L34">
        <v>66213</v>
      </c>
      <c r="M34">
        <v>1038</v>
      </c>
      <c r="N34">
        <v>1.57</v>
      </c>
      <c r="O34" t="s">
        <v>18</v>
      </c>
      <c r="P34">
        <f>Table1[Active]/Table1[Confirmed]*100</f>
        <v>9.250420068103077</v>
      </c>
      <c r="Q34">
        <f>Table1[New_cases]/Table1[Confirmed_last_week]*100</f>
        <v>0.17972301511787714</v>
      </c>
      <c r="R34">
        <f>Table1[Confirmed]-Table1[Recovered]</f>
        <v>6759</v>
      </c>
      <c r="S34">
        <f>Table1[Deaths]/Table1[Confirmed]*100</f>
        <v>0.79998810426610767</v>
      </c>
      <c r="T34">
        <f>D34:D220/Table1[Deaths]</f>
        <v>112.43866171003718</v>
      </c>
    </row>
    <row r="35" spans="1:20" x14ac:dyDescent="0.25">
      <c r="A35" t="s">
        <v>197</v>
      </c>
      <c r="B35">
        <v>67096</v>
      </c>
      <c r="C35">
        <v>1636</v>
      </c>
      <c r="D35">
        <v>37202</v>
      </c>
      <c r="E35">
        <v>28258</v>
      </c>
      <c r="F35">
        <v>835</v>
      </c>
      <c r="G35">
        <v>11</v>
      </c>
      <c r="H35">
        <v>317</v>
      </c>
      <c r="I35">
        <v>2.44</v>
      </c>
      <c r="J35">
        <v>55.45</v>
      </c>
      <c r="K35">
        <v>4.4000000000000004</v>
      </c>
      <c r="L35">
        <v>60767</v>
      </c>
      <c r="M35">
        <v>6329</v>
      </c>
      <c r="N35">
        <v>10.42</v>
      </c>
      <c r="O35" t="s">
        <v>18</v>
      </c>
      <c r="P35">
        <f>Table1[Active]/Table1[Confirmed]*100</f>
        <v>42.11577441278169</v>
      </c>
      <c r="Q35">
        <f>Table1[New_cases]/Table1[Confirmed_last_week]*100</f>
        <v>1.3741010745964093</v>
      </c>
      <c r="R35">
        <f>Table1[Confirmed]-Table1[Recovered]</f>
        <v>29894</v>
      </c>
      <c r="S35">
        <f>Table1[Deaths]/Table1[Confirmed]*100</f>
        <v>2.4382973649695958</v>
      </c>
      <c r="T35">
        <f>D35:D221/Table1[Deaths]</f>
        <v>22.739608801955992</v>
      </c>
    </row>
    <row r="36" spans="1:20" x14ac:dyDescent="0.25">
      <c r="A36" t="s">
        <v>37</v>
      </c>
      <c r="B36">
        <v>66428</v>
      </c>
      <c r="C36">
        <v>9822</v>
      </c>
      <c r="D36">
        <v>17452</v>
      </c>
      <c r="E36">
        <v>39154</v>
      </c>
      <c r="F36">
        <v>402</v>
      </c>
      <c r="G36">
        <v>1</v>
      </c>
      <c r="H36">
        <v>14</v>
      </c>
      <c r="I36">
        <v>14.79</v>
      </c>
      <c r="J36">
        <v>26.27</v>
      </c>
      <c r="K36">
        <v>56.28</v>
      </c>
      <c r="L36">
        <v>64094</v>
      </c>
      <c r="M36">
        <v>2334</v>
      </c>
      <c r="N36">
        <v>3.64</v>
      </c>
      <c r="O36" t="s">
        <v>18</v>
      </c>
      <c r="P36">
        <f>Table1[Active]/Table1[Confirmed]*100</f>
        <v>58.942012404407784</v>
      </c>
      <c r="Q36">
        <f>Table1[New_cases]/Table1[Confirmed_last_week]*100</f>
        <v>0.62720379442693541</v>
      </c>
      <c r="R36">
        <f>Table1[Confirmed]-Table1[Recovered]</f>
        <v>48976</v>
      </c>
      <c r="S36">
        <f>Table1[Deaths]/Table1[Confirmed]*100</f>
        <v>14.785933642439936</v>
      </c>
      <c r="T36">
        <f>D36:D222/Table1[Deaths]</f>
        <v>1.7768275300346161</v>
      </c>
    </row>
    <row r="37" spans="1:20" x14ac:dyDescent="0.25">
      <c r="A37" t="s">
        <v>114</v>
      </c>
      <c r="B37">
        <v>64379</v>
      </c>
      <c r="C37">
        <v>438</v>
      </c>
      <c r="D37">
        <v>55057</v>
      </c>
      <c r="E37">
        <v>8884</v>
      </c>
      <c r="F37">
        <v>606</v>
      </c>
      <c r="G37">
        <v>5</v>
      </c>
      <c r="H37">
        <v>684</v>
      </c>
      <c r="I37">
        <v>0.68</v>
      </c>
      <c r="J37">
        <v>85.52</v>
      </c>
      <c r="K37">
        <v>0.8</v>
      </c>
      <c r="L37">
        <v>59763</v>
      </c>
      <c r="M37">
        <v>4616</v>
      </c>
      <c r="N37">
        <v>7.72</v>
      </c>
      <c r="O37" t="s">
        <v>16</v>
      </c>
      <c r="P37">
        <f>Table1[Active]/Table1[Confirmed]*100</f>
        <v>13.799530902934187</v>
      </c>
      <c r="Q37">
        <f>Table1[New_cases]/Table1[Confirmed_last_week]*100</f>
        <v>1.0140053210180211</v>
      </c>
      <c r="R37">
        <f>Table1[Confirmed]-Table1[Recovered]</f>
        <v>9322</v>
      </c>
      <c r="S37">
        <f>Table1[Deaths]/Table1[Confirmed]*100</f>
        <v>0.68034607558365301</v>
      </c>
      <c r="T37">
        <f>D37:D223/Table1[Deaths]</f>
        <v>125.70091324200914</v>
      </c>
    </row>
    <row r="38" spans="1:20" x14ac:dyDescent="0.25">
      <c r="A38" t="s">
        <v>72</v>
      </c>
      <c r="B38">
        <v>64156</v>
      </c>
      <c r="C38">
        <v>1083</v>
      </c>
      <c r="D38">
        <v>30204</v>
      </c>
      <c r="E38">
        <v>32869</v>
      </c>
      <c r="F38">
        <v>1248</v>
      </c>
      <c r="G38">
        <v>20</v>
      </c>
      <c r="H38">
        <v>1601</v>
      </c>
      <c r="I38">
        <v>1.69</v>
      </c>
      <c r="J38">
        <v>47.08</v>
      </c>
      <c r="K38">
        <v>3.59</v>
      </c>
      <c r="L38">
        <v>53956</v>
      </c>
      <c r="M38">
        <v>10200</v>
      </c>
      <c r="N38">
        <v>18.899999999999999</v>
      </c>
      <c r="O38" t="s">
        <v>24</v>
      </c>
      <c r="P38">
        <f>Table1[Active]/Table1[Confirmed]*100</f>
        <v>51.232932227694995</v>
      </c>
      <c r="Q38">
        <f>Table1[New_cases]/Table1[Confirmed_last_week]*100</f>
        <v>2.312995774334643</v>
      </c>
      <c r="R38">
        <f>Table1[Confirmed]-Table1[Recovered]</f>
        <v>33952</v>
      </c>
      <c r="S38">
        <f>Table1[Deaths]/Table1[Confirmed]*100</f>
        <v>1.688072822495168</v>
      </c>
      <c r="T38">
        <f>D38:D224/Table1[Deaths]</f>
        <v>27.889196675900276</v>
      </c>
    </row>
    <row r="39" spans="1:20" x14ac:dyDescent="0.25">
      <c r="A39" t="s">
        <v>106</v>
      </c>
      <c r="B39">
        <v>63985</v>
      </c>
      <c r="C39">
        <v>474</v>
      </c>
      <c r="D39">
        <v>27133</v>
      </c>
      <c r="E39">
        <v>36378</v>
      </c>
      <c r="F39">
        <v>2029</v>
      </c>
      <c r="G39">
        <v>4</v>
      </c>
      <c r="H39">
        <v>108</v>
      </c>
      <c r="I39">
        <v>0.74</v>
      </c>
      <c r="J39">
        <v>42.41</v>
      </c>
      <c r="K39">
        <v>1.75</v>
      </c>
      <c r="L39">
        <v>52003</v>
      </c>
      <c r="M39">
        <v>11982</v>
      </c>
      <c r="N39">
        <v>23.04</v>
      </c>
      <c r="O39" t="s">
        <v>18</v>
      </c>
      <c r="P39">
        <f>Table1[Active]/Table1[Confirmed]*100</f>
        <v>56.853950144565133</v>
      </c>
      <c r="Q39">
        <f>Table1[New_cases]/Table1[Confirmed_last_week]*100</f>
        <v>3.9016979789627522</v>
      </c>
      <c r="R39">
        <f>Table1[Confirmed]-Table1[Recovered]</f>
        <v>36852</v>
      </c>
      <c r="S39">
        <f>Table1[Deaths]/Table1[Confirmed]*100</f>
        <v>0.74079862467765878</v>
      </c>
      <c r="T39">
        <f>D39:D225/Table1[Deaths]</f>
        <v>57.242616033755276</v>
      </c>
    </row>
    <row r="40" spans="1:20" x14ac:dyDescent="0.25">
      <c r="A40" t="s">
        <v>151</v>
      </c>
      <c r="B40">
        <v>61442</v>
      </c>
      <c r="C40">
        <v>1322</v>
      </c>
      <c r="D40">
        <v>35086</v>
      </c>
      <c r="E40">
        <v>25034</v>
      </c>
      <c r="F40">
        <v>1146</v>
      </c>
      <c r="G40">
        <v>28</v>
      </c>
      <c r="H40">
        <v>955</v>
      </c>
      <c r="I40">
        <v>2.15</v>
      </c>
      <c r="J40">
        <v>57.1</v>
      </c>
      <c r="K40">
        <v>3.77</v>
      </c>
      <c r="L40">
        <v>54426</v>
      </c>
      <c r="M40">
        <v>7016</v>
      </c>
      <c r="N40">
        <v>12.89</v>
      </c>
      <c r="O40" t="s">
        <v>24</v>
      </c>
      <c r="P40">
        <f>Table1[Active]/Table1[Confirmed]*100</f>
        <v>40.744116402460854</v>
      </c>
      <c r="Q40">
        <f>Table1[New_cases]/Table1[Confirmed_last_week]*100</f>
        <v>2.1056112887223017</v>
      </c>
      <c r="R40">
        <f>Table1[Confirmed]-Table1[Recovered]</f>
        <v>26356</v>
      </c>
      <c r="S40">
        <f>Table1[Deaths]/Table1[Confirmed]*100</f>
        <v>2.1516226685329256</v>
      </c>
      <c r="T40">
        <f>D40:D226/Table1[Deaths]</f>
        <v>26.540090771558244</v>
      </c>
    </row>
    <row r="41" spans="1:20" x14ac:dyDescent="0.25">
      <c r="A41" t="s">
        <v>198</v>
      </c>
      <c r="B41">
        <v>59177</v>
      </c>
      <c r="C41">
        <v>345</v>
      </c>
      <c r="D41">
        <v>52510</v>
      </c>
      <c r="E41">
        <v>6322</v>
      </c>
      <c r="F41">
        <v>264</v>
      </c>
      <c r="G41">
        <v>1</v>
      </c>
      <c r="H41">
        <v>328</v>
      </c>
      <c r="I41">
        <v>0.57999999999999996</v>
      </c>
      <c r="J41">
        <v>88.73</v>
      </c>
      <c r="K41">
        <v>0.66</v>
      </c>
      <c r="L41">
        <v>57193</v>
      </c>
      <c r="M41">
        <v>1984</v>
      </c>
      <c r="N41">
        <v>3.47</v>
      </c>
      <c r="O41" t="s">
        <v>16</v>
      </c>
      <c r="P41">
        <f>Table1[Active]/Table1[Confirmed]*100</f>
        <v>10.683204623417881</v>
      </c>
      <c r="Q41">
        <f>Table1[New_cases]/Table1[Confirmed_last_week]*100</f>
        <v>0.4615949504309968</v>
      </c>
      <c r="R41">
        <f>Table1[Confirmed]-Table1[Recovered]</f>
        <v>6667</v>
      </c>
      <c r="S41">
        <f>Table1[Deaths]/Table1[Confirmed]*100</f>
        <v>0.5829967723946804</v>
      </c>
      <c r="T41">
        <f>D41:D227/Table1[Deaths]</f>
        <v>152.20289855072463</v>
      </c>
    </row>
    <row r="42" spans="1:20" x14ac:dyDescent="0.25">
      <c r="A42" t="s">
        <v>142</v>
      </c>
      <c r="B42">
        <v>53413</v>
      </c>
      <c r="C42">
        <v>6160</v>
      </c>
      <c r="D42">
        <v>189</v>
      </c>
      <c r="E42">
        <v>47064</v>
      </c>
      <c r="F42">
        <v>419</v>
      </c>
      <c r="G42">
        <v>1</v>
      </c>
      <c r="H42">
        <v>0</v>
      </c>
      <c r="I42">
        <v>11.53</v>
      </c>
      <c r="J42">
        <v>0.35</v>
      </c>
      <c r="K42">
        <v>3259.26</v>
      </c>
      <c r="L42">
        <v>52132</v>
      </c>
      <c r="M42">
        <v>1281</v>
      </c>
      <c r="N42">
        <v>2.46</v>
      </c>
      <c r="O42" t="s">
        <v>18</v>
      </c>
      <c r="P42">
        <f>Table1[Active]/Table1[Confirmed]*100</f>
        <v>88.113380637672478</v>
      </c>
      <c r="Q42">
        <f>Table1[New_cases]/Table1[Confirmed_last_week]*100</f>
        <v>0.80372899562648659</v>
      </c>
      <c r="R42">
        <f>Table1[Confirmed]-Table1[Recovered]</f>
        <v>53224</v>
      </c>
      <c r="S42">
        <f>Table1[Deaths]/Table1[Confirmed]*100</f>
        <v>11.532772920450078</v>
      </c>
      <c r="T42">
        <f>D42:D228/Table1[Deaths]</f>
        <v>3.0681818181818182E-2</v>
      </c>
    </row>
    <row r="43" spans="1:20" x14ac:dyDescent="0.25">
      <c r="A43" t="s">
        <v>172</v>
      </c>
      <c r="B43">
        <v>50838</v>
      </c>
      <c r="C43">
        <v>27</v>
      </c>
      <c r="D43">
        <v>45692</v>
      </c>
      <c r="E43">
        <v>5119</v>
      </c>
      <c r="F43">
        <v>469</v>
      </c>
      <c r="G43">
        <v>0</v>
      </c>
      <c r="H43">
        <v>171</v>
      </c>
      <c r="I43">
        <v>0.05</v>
      </c>
      <c r="J43">
        <v>89.88</v>
      </c>
      <c r="K43">
        <v>0.06</v>
      </c>
      <c r="L43">
        <v>48035</v>
      </c>
      <c r="M43">
        <v>2803</v>
      </c>
      <c r="N43">
        <v>5.84</v>
      </c>
      <c r="O43" t="s">
        <v>28</v>
      </c>
      <c r="P43">
        <f>Table1[Active]/Table1[Confirmed]*100</f>
        <v>10.069239545222079</v>
      </c>
      <c r="Q43">
        <f>Table1[New_cases]/Table1[Confirmed_last_week]*100</f>
        <v>0.97637139585718746</v>
      </c>
      <c r="R43">
        <f>Table1[Confirmed]-Table1[Recovered]</f>
        <v>5146</v>
      </c>
      <c r="S43">
        <f>Table1[Deaths]/Table1[Confirmed]*100</f>
        <v>5.3109878437389353E-2</v>
      </c>
      <c r="T43">
        <f>D43:D229/Table1[Deaths]</f>
        <v>1692.2962962962963</v>
      </c>
    </row>
    <row r="44" spans="1:20" x14ac:dyDescent="0.25">
      <c r="A44" t="s">
        <v>157</v>
      </c>
      <c r="B44">
        <v>50299</v>
      </c>
      <c r="C44">
        <v>1719</v>
      </c>
      <c r="D44">
        <v>35375</v>
      </c>
      <c r="E44">
        <v>13205</v>
      </c>
      <c r="F44">
        <v>135</v>
      </c>
      <c r="G44">
        <v>2</v>
      </c>
      <c r="H44">
        <v>158</v>
      </c>
      <c r="I44">
        <v>3.42</v>
      </c>
      <c r="J44">
        <v>70.33</v>
      </c>
      <c r="K44">
        <v>4.8600000000000003</v>
      </c>
      <c r="L44">
        <v>48771</v>
      </c>
      <c r="M44">
        <v>1528</v>
      </c>
      <c r="N44">
        <v>3.13</v>
      </c>
      <c r="O44" t="s">
        <v>18</v>
      </c>
      <c r="P44">
        <f>Table1[Active]/Table1[Confirmed]*100</f>
        <v>26.253007018032164</v>
      </c>
      <c r="Q44">
        <f>Table1[New_cases]/Table1[Confirmed_last_week]*100</f>
        <v>0.27680383834655842</v>
      </c>
      <c r="R44">
        <f>Table1[Confirmed]-Table1[Recovered]</f>
        <v>14924</v>
      </c>
      <c r="S44">
        <f>Table1[Deaths]/Table1[Confirmed]*100</f>
        <v>3.417562973418955</v>
      </c>
      <c r="T44">
        <f>D44:D230/Table1[Deaths]</f>
        <v>20.578824898196626</v>
      </c>
    </row>
    <row r="45" spans="1:20" x14ac:dyDescent="0.25">
      <c r="A45" t="s">
        <v>159</v>
      </c>
      <c r="B45">
        <v>45902</v>
      </c>
      <c r="C45">
        <v>2206</v>
      </c>
      <c r="D45">
        <v>25794</v>
      </c>
      <c r="E45">
        <v>17902</v>
      </c>
      <c r="F45">
        <v>1104</v>
      </c>
      <c r="G45">
        <v>19</v>
      </c>
      <c r="H45">
        <v>151</v>
      </c>
      <c r="I45">
        <v>4.8099999999999996</v>
      </c>
      <c r="J45">
        <v>56.19</v>
      </c>
      <c r="K45">
        <v>8.5500000000000007</v>
      </c>
      <c r="L45">
        <v>38139</v>
      </c>
      <c r="M45">
        <v>7763</v>
      </c>
      <c r="N45">
        <v>20.350000000000001</v>
      </c>
      <c r="O45" t="s">
        <v>18</v>
      </c>
      <c r="P45">
        <f>Table1[Active]/Table1[Confirmed]*100</f>
        <v>39.0004792819485</v>
      </c>
      <c r="Q45">
        <f>Table1[New_cases]/Table1[Confirmed_last_week]*100</f>
        <v>2.8946747423896797</v>
      </c>
      <c r="R45">
        <f>Table1[Confirmed]-Table1[Recovered]</f>
        <v>20108</v>
      </c>
      <c r="S45">
        <f>Table1[Deaths]/Table1[Confirmed]*100</f>
        <v>4.8058908108579148</v>
      </c>
      <c r="T45">
        <f>D45:D231/Table1[Deaths]</f>
        <v>11.692656391659112</v>
      </c>
    </row>
    <row r="46" spans="1:20" x14ac:dyDescent="0.25">
      <c r="A46" t="s">
        <v>92</v>
      </c>
      <c r="B46">
        <v>45309</v>
      </c>
      <c r="C46">
        <v>1761</v>
      </c>
      <c r="D46">
        <v>32455</v>
      </c>
      <c r="E46">
        <v>11093</v>
      </c>
      <c r="F46">
        <v>256</v>
      </c>
      <c r="G46">
        <v>27</v>
      </c>
      <c r="H46">
        <v>843</v>
      </c>
      <c r="I46">
        <v>3.89</v>
      </c>
      <c r="J46">
        <v>71.63</v>
      </c>
      <c r="K46">
        <v>5.43</v>
      </c>
      <c r="L46">
        <v>39039</v>
      </c>
      <c r="M46">
        <v>6270</v>
      </c>
      <c r="N46">
        <v>16.059999999999999</v>
      </c>
      <c r="O46" t="s">
        <v>24</v>
      </c>
      <c r="P46">
        <f>Table1[Active]/Table1[Confirmed]*100</f>
        <v>24.48299454854444</v>
      </c>
      <c r="Q46">
        <f>Table1[New_cases]/Table1[Confirmed_last_week]*100</f>
        <v>0.65575450190834805</v>
      </c>
      <c r="R46">
        <f>Table1[Confirmed]-Table1[Recovered]</f>
        <v>12854</v>
      </c>
      <c r="S46">
        <f>Table1[Deaths]/Table1[Confirmed]*100</f>
        <v>3.8866450374097861</v>
      </c>
      <c r="T46">
        <f>D46:D232/Table1[Deaths]</f>
        <v>18.429869392390685</v>
      </c>
    </row>
    <row r="47" spans="1:20" x14ac:dyDescent="0.25">
      <c r="A47" t="s">
        <v>156</v>
      </c>
      <c r="B47">
        <v>43402</v>
      </c>
      <c r="C47">
        <v>1676</v>
      </c>
      <c r="D47">
        <v>32856</v>
      </c>
      <c r="E47">
        <v>8870</v>
      </c>
      <c r="F47">
        <v>337</v>
      </c>
      <c r="G47">
        <v>5</v>
      </c>
      <c r="H47">
        <v>103</v>
      </c>
      <c r="I47">
        <v>3.86</v>
      </c>
      <c r="J47">
        <v>75.7</v>
      </c>
      <c r="K47">
        <v>5.0999999999999996</v>
      </c>
      <c r="L47">
        <v>40383</v>
      </c>
      <c r="M47">
        <v>3019</v>
      </c>
      <c r="N47">
        <v>7.48</v>
      </c>
      <c r="O47" t="s">
        <v>18</v>
      </c>
      <c r="P47">
        <f>Table1[Active]/Table1[Confirmed]*100</f>
        <v>20.436846228284409</v>
      </c>
      <c r="Q47">
        <f>Table1[New_cases]/Table1[Confirmed_last_week]*100</f>
        <v>0.83450957085902477</v>
      </c>
      <c r="R47">
        <f>Table1[Confirmed]-Table1[Recovered]</f>
        <v>10546</v>
      </c>
      <c r="S47">
        <f>Table1[Deaths]/Table1[Confirmed]*100</f>
        <v>3.8615731993917333</v>
      </c>
      <c r="T47">
        <f>D47:D233/Table1[Deaths]</f>
        <v>19.603818615751791</v>
      </c>
    </row>
    <row r="48" spans="1:20" x14ac:dyDescent="0.25">
      <c r="A48" t="s">
        <v>146</v>
      </c>
      <c r="B48">
        <v>41180</v>
      </c>
      <c r="C48">
        <v>860</v>
      </c>
      <c r="D48">
        <v>18203</v>
      </c>
      <c r="E48">
        <v>22117</v>
      </c>
      <c r="F48">
        <v>648</v>
      </c>
      <c r="G48">
        <v>2</v>
      </c>
      <c r="H48">
        <v>829</v>
      </c>
      <c r="I48">
        <v>2.09</v>
      </c>
      <c r="J48">
        <v>44.2</v>
      </c>
      <c r="K48">
        <v>4.72</v>
      </c>
      <c r="L48">
        <v>37225</v>
      </c>
      <c r="M48">
        <v>3955</v>
      </c>
      <c r="N48">
        <v>10.62</v>
      </c>
      <c r="O48" t="s">
        <v>20</v>
      </c>
      <c r="P48">
        <f>Table1[Active]/Table1[Confirmed]*100</f>
        <v>53.708110733365707</v>
      </c>
      <c r="Q48">
        <f>Table1[New_cases]/Table1[Confirmed_last_week]*100</f>
        <v>1.7407656145063801</v>
      </c>
      <c r="R48">
        <f>Table1[Confirmed]-Table1[Recovered]</f>
        <v>22977</v>
      </c>
      <c r="S48">
        <f>Table1[Deaths]/Table1[Confirmed]*100</f>
        <v>2.0883924235065567</v>
      </c>
      <c r="T48">
        <f>D48:D234/Table1[Deaths]</f>
        <v>21.166279069767441</v>
      </c>
    </row>
    <row r="49" spans="1:20" x14ac:dyDescent="0.25">
      <c r="A49" t="s">
        <v>98</v>
      </c>
      <c r="B49">
        <v>39741</v>
      </c>
      <c r="C49">
        <v>1166</v>
      </c>
      <c r="D49">
        <v>5039</v>
      </c>
      <c r="E49">
        <v>33536</v>
      </c>
      <c r="F49">
        <v>465</v>
      </c>
      <c r="G49">
        <v>50</v>
      </c>
      <c r="H49">
        <v>117</v>
      </c>
      <c r="I49">
        <v>2.93</v>
      </c>
      <c r="J49">
        <v>12.68</v>
      </c>
      <c r="K49">
        <v>23.14</v>
      </c>
      <c r="L49">
        <v>34611</v>
      </c>
      <c r="M49">
        <v>5130</v>
      </c>
      <c r="N49">
        <v>14.82</v>
      </c>
      <c r="O49" t="s">
        <v>24</v>
      </c>
      <c r="P49">
        <f>Table1[Active]/Table1[Confirmed]*100</f>
        <v>84.386401952643368</v>
      </c>
      <c r="Q49">
        <f>Table1[New_cases]/Table1[Confirmed_last_week]*100</f>
        <v>1.3435035104446564</v>
      </c>
      <c r="R49">
        <f>Table1[Confirmed]-Table1[Recovered]</f>
        <v>34702</v>
      </c>
      <c r="S49">
        <f>Table1[Deaths]/Table1[Confirmed]*100</f>
        <v>2.9339976346845829</v>
      </c>
      <c r="T49">
        <f>D49:D235/Table1[Deaths]</f>
        <v>4.3216123499142372</v>
      </c>
    </row>
    <row r="50" spans="1:20" x14ac:dyDescent="0.25">
      <c r="A50" t="s">
        <v>32</v>
      </c>
      <c r="B50">
        <v>39482</v>
      </c>
      <c r="C50">
        <v>141</v>
      </c>
      <c r="D50">
        <v>36110</v>
      </c>
      <c r="E50">
        <v>3231</v>
      </c>
      <c r="F50">
        <v>351</v>
      </c>
      <c r="G50">
        <v>1</v>
      </c>
      <c r="H50">
        <v>421</v>
      </c>
      <c r="I50">
        <v>0.36</v>
      </c>
      <c r="J50">
        <v>91.46</v>
      </c>
      <c r="K50">
        <v>0.39</v>
      </c>
      <c r="L50">
        <v>36936</v>
      </c>
      <c r="M50">
        <v>2546</v>
      </c>
      <c r="N50">
        <v>6.89</v>
      </c>
      <c r="O50" t="s">
        <v>16</v>
      </c>
      <c r="P50">
        <f>Table1[Active]/Table1[Confirmed]*100</f>
        <v>8.1834760143863026</v>
      </c>
      <c r="Q50">
        <f>Table1[New_cases]/Table1[Confirmed_last_week]*100</f>
        <v>0.95029239766081863</v>
      </c>
      <c r="R50">
        <f>Table1[Confirmed]-Table1[Recovered]</f>
        <v>3372</v>
      </c>
      <c r="S50">
        <f>Table1[Deaths]/Table1[Confirmed]*100</f>
        <v>0.35712476571602247</v>
      </c>
      <c r="T50">
        <f>D50:D236/Table1[Deaths]</f>
        <v>256.09929078014187</v>
      </c>
    </row>
    <row r="51" spans="1:20" x14ac:dyDescent="0.25">
      <c r="A51" t="s">
        <v>26</v>
      </c>
      <c r="B51">
        <v>37390</v>
      </c>
      <c r="C51">
        <v>711</v>
      </c>
      <c r="D51">
        <v>26665</v>
      </c>
      <c r="E51">
        <v>10014</v>
      </c>
      <c r="F51">
        <v>73</v>
      </c>
      <c r="G51">
        <v>6</v>
      </c>
      <c r="H51">
        <v>187</v>
      </c>
      <c r="I51">
        <v>1.9</v>
      </c>
      <c r="J51">
        <v>71.319999999999993</v>
      </c>
      <c r="K51">
        <v>2.67</v>
      </c>
      <c r="L51">
        <v>34981</v>
      </c>
      <c r="M51">
        <v>2409</v>
      </c>
      <c r="N51">
        <v>6.89</v>
      </c>
      <c r="O51" t="s">
        <v>18</v>
      </c>
      <c r="P51">
        <f>Table1[Active]/Table1[Confirmed]*100</f>
        <v>26.782562182401708</v>
      </c>
      <c r="Q51">
        <f>Table1[New_cases]/Table1[Confirmed_last_week]*100</f>
        <v>0.20868471455933224</v>
      </c>
      <c r="R51">
        <f>Table1[Confirmed]-Table1[Recovered]</f>
        <v>10725</v>
      </c>
      <c r="S51">
        <f>Table1[Deaths]/Table1[Confirmed]*100</f>
        <v>1.9015779620219311</v>
      </c>
      <c r="T51">
        <f>D51:D237/Table1[Deaths]</f>
        <v>37.50351617440225</v>
      </c>
    </row>
    <row r="52" spans="1:20" x14ac:dyDescent="0.25">
      <c r="A52" t="s">
        <v>15</v>
      </c>
      <c r="B52">
        <v>36263</v>
      </c>
      <c r="C52">
        <v>1269</v>
      </c>
      <c r="D52">
        <v>25198</v>
      </c>
      <c r="E52">
        <v>9796</v>
      </c>
      <c r="F52">
        <v>106</v>
      </c>
      <c r="G52">
        <v>10</v>
      </c>
      <c r="H52">
        <v>18</v>
      </c>
      <c r="I52">
        <v>3.5</v>
      </c>
      <c r="J52">
        <v>69.489999999999995</v>
      </c>
      <c r="K52">
        <v>5.04</v>
      </c>
      <c r="L52">
        <v>35526</v>
      </c>
      <c r="M52">
        <v>737</v>
      </c>
      <c r="N52">
        <v>2.0699999999999998</v>
      </c>
      <c r="O52" t="s">
        <v>16</v>
      </c>
      <c r="P52">
        <f>Table1[Active]/Table1[Confirmed]*100</f>
        <v>27.013760582411823</v>
      </c>
      <c r="Q52">
        <f>Table1[New_cases]/Table1[Confirmed_last_week]*100</f>
        <v>0.29837302257501547</v>
      </c>
      <c r="R52">
        <f>Table1[Confirmed]-Table1[Recovered]</f>
        <v>11065</v>
      </c>
      <c r="S52">
        <f>Table1[Deaths]/Table1[Confirmed]*100</f>
        <v>3.499434685492099</v>
      </c>
      <c r="T52">
        <f>D52:D238/Table1[Deaths]</f>
        <v>19.856579984239559</v>
      </c>
    </row>
    <row r="53" spans="1:20" x14ac:dyDescent="0.25">
      <c r="A53" t="s">
        <v>184</v>
      </c>
      <c r="B53">
        <v>34477</v>
      </c>
      <c r="C53">
        <v>1978</v>
      </c>
      <c r="D53">
        <v>30900</v>
      </c>
      <c r="E53">
        <v>1599</v>
      </c>
      <c r="F53">
        <v>65</v>
      </c>
      <c r="G53">
        <v>1</v>
      </c>
      <c r="H53">
        <v>200</v>
      </c>
      <c r="I53">
        <v>5.74</v>
      </c>
      <c r="J53">
        <v>89.62</v>
      </c>
      <c r="K53">
        <v>6.4</v>
      </c>
      <c r="L53">
        <v>33634</v>
      </c>
      <c r="M53">
        <v>843</v>
      </c>
      <c r="N53">
        <v>2.5099999999999998</v>
      </c>
      <c r="O53" t="s">
        <v>18</v>
      </c>
      <c r="P53">
        <f>Table1[Active]/Table1[Confirmed]*100</f>
        <v>4.6378745250456825</v>
      </c>
      <c r="Q53">
        <f>Table1[New_cases]/Table1[Confirmed_last_week]*100</f>
        <v>0.19325682345245884</v>
      </c>
      <c r="R53">
        <f>Table1[Confirmed]-Table1[Recovered]</f>
        <v>3577</v>
      </c>
      <c r="S53">
        <f>Table1[Deaths]/Table1[Confirmed]*100</f>
        <v>5.7371581054036023</v>
      </c>
      <c r="T53">
        <f>D53:D239/Table1[Deaths]</f>
        <v>15.621840242669363</v>
      </c>
    </row>
    <row r="54" spans="1:20" x14ac:dyDescent="0.25">
      <c r="A54" t="s">
        <v>88</v>
      </c>
      <c r="B54">
        <v>33624</v>
      </c>
      <c r="C54">
        <v>168</v>
      </c>
      <c r="D54">
        <v>29801</v>
      </c>
      <c r="E54">
        <v>3655</v>
      </c>
      <c r="F54">
        <v>655</v>
      </c>
      <c r="G54">
        <v>0</v>
      </c>
      <c r="H54">
        <v>307</v>
      </c>
      <c r="I54">
        <v>0.5</v>
      </c>
      <c r="J54">
        <v>88.63</v>
      </c>
      <c r="K54">
        <v>0.56000000000000005</v>
      </c>
      <c r="L54">
        <v>28430</v>
      </c>
      <c r="M54">
        <v>5194</v>
      </c>
      <c r="N54">
        <v>18.27</v>
      </c>
      <c r="O54" t="s">
        <v>20</v>
      </c>
      <c r="P54">
        <f>Table1[Active]/Table1[Confirmed]*100</f>
        <v>10.870211753509398</v>
      </c>
      <c r="Q54">
        <f>Table1[New_cases]/Table1[Confirmed_last_week]*100</f>
        <v>2.3039043264157582</v>
      </c>
      <c r="R54">
        <f>Table1[Confirmed]-Table1[Recovered]</f>
        <v>3823</v>
      </c>
      <c r="S54">
        <f>Table1[Deaths]/Table1[Confirmed]*100</f>
        <v>0.49964311206281231</v>
      </c>
      <c r="T54">
        <f>D54:D240/Table1[Deaths]</f>
        <v>177.38690476190476</v>
      </c>
    </row>
    <row r="55" spans="1:20" x14ac:dyDescent="0.25">
      <c r="A55" t="s">
        <v>115</v>
      </c>
      <c r="B55">
        <v>33296</v>
      </c>
      <c r="C55">
        <v>1301</v>
      </c>
      <c r="D55">
        <v>21205</v>
      </c>
      <c r="E55">
        <v>10790</v>
      </c>
      <c r="F55">
        <v>483</v>
      </c>
      <c r="G55">
        <v>24</v>
      </c>
      <c r="H55">
        <v>817</v>
      </c>
      <c r="I55">
        <v>3.91</v>
      </c>
      <c r="J55">
        <v>63.69</v>
      </c>
      <c r="K55">
        <v>6.14</v>
      </c>
      <c r="L55">
        <v>27143</v>
      </c>
      <c r="M55">
        <v>6153</v>
      </c>
      <c r="N55">
        <v>22.67</v>
      </c>
      <c r="O55" t="s">
        <v>18</v>
      </c>
      <c r="P55">
        <f>Table1[Active]/Table1[Confirmed]*100</f>
        <v>32.406295050456514</v>
      </c>
      <c r="Q55">
        <f>Table1[New_cases]/Table1[Confirmed_last_week]*100</f>
        <v>1.7794643186088495</v>
      </c>
      <c r="R55">
        <f>Table1[Confirmed]-Table1[Recovered]</f>
        <v>12091</v>
      </c>
      <c r="S55">
        <f>Table1[Deaths]/Table1[Confirmed]*100</f>
        <v>3.9073762614127823</v>
      </c>
      <c r="T55">
        <f>D55:D241/Table1[Deaths]</f>
        <v>16.299000768639509</v>
      </c>
    </row>
    <row r="56" spans="1:20" x14ac:dyDescent="0.25">
      <c r="A56" t="s">
        <v>109</v>
      </c>
      <c r="B56">
        <v>31142</v>
      </c>
      <c r="C56">
        <v>998</v>
      </c>
      <c r="D56">
        <v>21970</v>
      </c>
      <c r="E56">
        <v>8174</v>
      </c>
      <c r="F56">
        <v>594</v>
      </c>
      <c r="G56">
        <v>0</v>
      </c>
      <c r="H56">
        <v>364</v>
      </c>
      <c r="I56">
        <v>3.2</v>
      </c>
      <c r="J56">
        <v>70.55</v>
      </c>
      <c r="K56">
        <v>4.54</v>
      </c>
      <c r="L56">
        <v>25706</v>
      </c>
      <c r="M56">
        <v>5436</v>
      </c>
      <c r="N56">
        <v>21.15</v>
      </c>
      <c r="O56" t="s">
        <v>28</v>
      </c>
      <c r="P56">
        <f>Table1[Active]/Table1[Confirmed]*100</f>
        <v>26.247511399396313</v>
      </c>
      <c r="Q56">
        <f>Table1[New_cases]/Table1[Confirmed_last_week]*100</f>
        <v>2.3107445732513812</v>
      </c>
      <c r="R56">
        <f>Table1[Confirmed]-Table1[Recovered]</f>
        <v>9172</v>
      </c>
      <c r="S56">
        <f>Table1[Deaths]/Table1[Confirmed]*100</f>
        <v>3.2046753580373775</v>
      </c>
      <c r="T56">
        <f>D56:D242/Table1[Deaths]</f>
        <v>22.014028056112224</v>
      </c>
    </row>
    <row r="57" spans="1:20" x14ac:dyDescent="0.25">
      <c r="A57" t="s">
        <v>30</v>
      </c>
      <c r="B57">
        <v>30446</v>
      </c>
      <c r="C57">
        <v>423</v>
      </c>
      <c r="D57">
        <v>23242</v>
      </c>
      <c r="E57">
        <v>6781</v>
      </c>
      <c r="F57">
        <v>396</v>
      </c>
      <c r="G57">
        <v>6</v>
      </c>
      <c r="H57">
        <v>558</v>
      </c>
      <c r="I57">
        <v>1.39</v>
      </c>
      <c r="J57">
        <v>76.34</v>
      </c>
      <c r="K57">
        <v>1.82</v>
      </c>
      <c r="L57">
        <v>27890</v>
      </c>
      <c r="M57">
        <v>2556</v>
      </c>
      <c r="N57">
        <v>9.16</v>
      </c>
      <c r="O57" t="s">
        <v>18</v>
      </c>
      <c r="P57">
        <f>Table1[Active]/Table1[Confirmed]*100</f>
        <v>22.272219667608226</v>
      </c>
      <c r="Q57">
        <f>Table1[New_cases]/Table1[Confirmed_last_week]*100</f>
        <v>1.4198637504481895</v>
      </c>
      <c r="R57">
        <f>Table1[Confirmed]-Table1[Recovered]</f>
        <v>7204</v>
      </c>
      <c r="S57">
        <f>Table1[Deaths]/Table1[Confirmed]*100</f>
        <v>1.389345069959929</v>
      </c>
      <c r="T57">
        <f>D57:D243/Table1[Deaths]</f>
        <v>54.945626477541374</v>
      </c>
    </row>
    <row r="58" spans="1:20" x14ac:dyDescent="0.25">
      <c r="A58" t="s">
        <v>19</v>
      </c>
      <c r="B58">
        <v>27973</v>
      </c>
      <c r="C58">
        <v>1163</v>
      </c>
      <c r="D58">
        <v>18837</v>
      </c>
      <c r="E58">
        <v>7973</v>
      </c>
      <c r="F58">
        <v>616</v>
      </c>
      <c r="G58">
        <v>8</v>
      </c>
      <c r="H58">
        <v>749</v>
      </c>
      <c r="I58">
        <v>4.16</v>
      </c>
      <c r="J58">
        <v>67.34</v>
      </c>
      <c r="K58">
        <v>6.17</v>
      </c>
      <c r="L58">
        <v>23691</v>
      </c>
      <c r="M58">
        <v>4282</v>
      </c>
      <c r="N58">
        <v>18.07</v>
      </c>
      <c r="O58" t="s">
        <v>20</v>
      </c>
      <c r="P58">
        <f>Table1[Active]/Table1[Confirmed]*100</f>
        <v>28.50248453866228</v>
      </c>
      <c r="Q58">
        <f>Table1[New_cases]/Table1[Confirmed_last_week]*100</f>
        <v>2.6001435144147567</v>
      </c>
      <c r="R58">
        <f>Table1[Confirmed]-Table1[Recovered]</f>
        <v>9136</v>
      </c>
      <c r="S58">
        <f>Table1[Deaths]/Table1[Confirmed]*100</f>
        <v>4.1575805240767885</v>
      </c>
      <c r="T58">
        <f>D58:D244/Table1[Deaths]</f>
        <v>16.196904557179707</v>
      </c>
    </row>
    <row r="59" spans="1:20" x14ac:dyDescent="0.25">
      <c r="A59" t="s">
        <v>105</v>
      </c>
      <c r="B59">
        <v>25892</v>
      </c>
      <c r="C59">
        <v>1764</v>
      </c>
      <c r="D59">
        <v>23364</v>
      </c>
      <c r="E59">
        <v>764</v>
      </c>
      <c r="F59">
        <v>11</v>
      </c>
      <c r="G59">
        <v>0</v>
      </c>
      <c r="H59">
        <v>0</v>
      </c>
      <c r="I59">
        <v>6.81</v>
      </c>
      <c r="J59">
        <v>90.24</v>
      </c>
      <c r="K59">
        <v>7.55</v>
      </c>
      <c r="L59">
        <v>25766</v>
      </c>
      <c r="M59">
        <v>126</v>
      </c>
      <c r="N59">
        <v>0.49</v>
      </c>
      <c r="O59" t="s">
        <v>18</v>
      </c>
      <c r="P59">
        <f>Table1[Active]/Table1[Confirmed]*100</f>
        <v>2.9507183686080642</v>
      </c>
      <c r="Q59">
        <f>Table1[New_cases]/Table1[Confirmed_last_week]*100</f>
        <v>4.2691919583947836E-2</v>
      </c>
      <c r="R59">
        <f>Table1[Confirmed]-Table1[Recovered]</f>
        <v>2528</v>
      </c>
      <c r="S59">
        <f>Table1[Deaths]/Table1[Confirmed]*100</f>
        <v>6.8129151861578858</v>
      </c>
      <c r="T59">
        <f>D59:D245/Table1[Deaths]</f>
        <v>13.244897959183673</v>
      </c>
    </row>
    <row r="60" spans="1:20" x14ac:dyDescent="0.25">
      <c r="A60" t="s">
        <v>169</v>
      </c>
      <c r="B60">
        <v>24141</v>
      </c>
      <c r="C60">
        <v>543</v>
      </c>
      <c r="D60">
        <v>0</v>
      </c>
      <c r="E60">
        <v>23598</v>
      </c>
      <c r="F60">
        <v>411</v>
      </c>
      <c r="G60">
        <v>9</v>
      </c>
      <c r="H60">
        <v>0</v>
      </c>
      <c r="I60">
        <v>2.25</v>
      </c>
      <c r="J60">
        <v>0</v>
      </c>
      <c r="K60" t="s">
        <v>54</v>
      </c>
      <c r="L60">
        <v>21253</v>
      </c>
      <c r="M60">
        <v>2888</v>
      </c>
      <c r="N60">
        <v>13.59</v>
      </c>
      <c r="O60" t="s">
        <v>18</v>
      </c>
      <c r="P60">
        <f>Table1[Active]/Table1[Confirmed]*100</f>
        <v>97.750714552006954</v>
      </c>
      <c r="Q60">
        <f>Table1[New_cases]/Table1[Confirmed_last_week]*100</f>
        <v>1.9338446336987718</v>
      </c>
      <c r="R60">
        <f>Table1[Confirmed]-Table1[Recovered]</f>
        <v>24141</v>
      </c>
      <c r="S60">
        <f>Table1[Deaths]/Table1[Confirmed]*100</f>
        <v>2.2492854479930409</v>
      </c>
      <c r="T60">
        <f>D60:D246/Table1[Deaths]</f>
        <v>0</v>
      </c>
    </row>
    <row r="61" spans="1:20" x14ac:dyDescent="0.25">
      <c r="A61" t="s">
        <v>134</v>
      </c>
      <c r="B61">
        <v>23154</v>
      </c>
      <c r="C61">
        <v>748</v>
      </c>
      <c r="D61">
        <v>16154</v>
      </c>
      <c r="E61">
        <v>6252</v>
      </c>
      <c r="F61">
        <v>120</v>
      </c>
      <c r="G61">
        <v>13</v>
      </c>
      <c r="H61">
        <v>245</v>
      </c>
      <c r="I61">
        <v>3.23</v>
      </c>
      <c r="J61">
        <v>69.77</v>
      </c>
      <c r="K61">
        <v>4.63</v>
      </c>
      <c r="L61">
        <v>21115</v>
      </c>
      <c r="M61">
        <v>2039</v>
      </c>
      <c r="N61">
        <v>9.66</v>
      </c>
      <c r="O61" t="s">
        <v>18</v>
      </c>
      <c r="P61">
        <f>Table1[Active]/Table1[Confirmed]*100</f>
        <v>27.001813941435604</v>
      </c>
      <c r="Q61">
        <f>Table1[New_cases]/Table1[Confirmed_last_week]*100</f>
        <v>0.56831636277527831</v>
      </c>
      <c r="R61">
        <f>Table1[Confirmed]-Table1[Recovered]</f>
        <v>7000</v>
      </c>
      <c r="S61">
        <f>Table1[Deaths]/Table1[Confirmed]*100</f>
        <v>3.2305433186490458</v>
      </c>
      <c r="T61">
        <f>D61:D247/Table1[Deaths]</f>
        <v>21.59625668449198</v>
      </c>
    </row>
    <row r="62" spans="1:20" x14ac:dyDescent="0.25">
      <c r="A62" t="s">
        <v>201</v>
      </c>
      <c r="B62">
        <v>21209</v>
      </c>
      <c r="C62">
        <v>121</v>
      </c>
      <c r="D62">
        <v>11674</v>
      </c>
      <c r="E62">
        <v>9414</v>
      </c>
      <c r="F62">
        <v>678</v>
      </c>
      <c r="G62">
        <v>5</v>
      </c>
      <c r="H62">
        <v>569</v>
      </c>
      <c r="I62">
        <v>0.56999999999999995</v>
      </c>
      <c r="J62">
        <v>55.04</v>
      </c>
      <c r="K62">
        <v>1.04</v>
      </c>
      <c r="L62">
        <v>17149</v>
      </c>
      <c r="M62">
        <v>4060</v>
      </c>
      <c r="N62">
        <v>23.67</v>
      </c>
      <c r="O62" t="s">
        <v>18</v>
      </c>
      <c r="P62">
        <f>Table1[Active]/Table1[Confirmed]*100</f>
        <v>44.386816917346408</v>
      </c>
      <c r="Q62">
        <f>Table1[New_cases]/Table1[Confirmed_last_week]*100</f>
        <v>3.9535832993177444</v>
      </c>
      <c r="R62">
        <f>Table1[Confirmed]-Table1[Recovered]</f>
        <v>9535</v>
      </c>
      <c r="S62">
        <f>Table1[Deaths]/Table1[Confirmed]*100</f>
        <v>0.5705125182705455</v>
      </c>
      <c r="T62">
        <f>D62:D248/Table1[Deaths]</f>
        <v>96.47933884297521</v>
      </c>
    </row>
    <row r="63" spans="1:20" x14ac:dyDescent="0.25">
      <c r="A63" t="s">
        <v>138</v>
      </c>
      <c r="B63">
        <v>20887</v>
      </c>
      <c r="C63">
        <v>316</v>
      </c>
      <c r="D63">
        <v>16553</v>
      </c>
      <c r="E63">
        <v>4018</v>
      </c>
      <c r="F63">
        <v>609</v>
      </c>
      <c r="G63">
        <v>3</v>
      </c>
      <c r="H63">
        <v>115</v>
      </c>
      <c r="I63">
        <v>1.51</v>
      </c>
      <c r="J63">
        <v>79.25</v>
      </c>
      <c r="K63">
        <v>1.91</v>
      </c>
      <c r="L63">
        <v>17562</v>
      </c>
      <c r="M63">
        <v>3325</v>
      </c>
      <c r="N63">
        <v>18.93</v>
      </c>
      <c r="O63" t="s">
        <v>16</v>
      </c>
      <c r="P63">
        <f>Table1[Active]/Table1[Confirmed]*100</f>
        <v>19.236845885000239</v>
      </c>
      <c r="Q63">
        <f>Table1[New_cases]/Table1[Confirmed_last_week]*100</f>
        <v>3.4677143833276394</v>
      </c>
      <c r="R63">
        <f>Table1[Confirmed]-Table1[Recovered]</f>
        <v>4334</v>
      </c>
      <c r="S63">
        <f>Table1[Deaths]/Table1[Confirmed]*100</f>
        <v>1.5129027624838416</v>
      </c>
      <c r="T63">
        <f>D63:D249/Table1[Deaths]</f>
        <v>52.382911392405063</v>
      </c>
    </row>
    <row r="64" spans="1:20" x14ac:dyDescent="0.25">
      <c r="A64" t="s">
        <v>29</v>
      </c>
      <c r="B64">
        <v>20558</v>
      </c>
      <c r="C64">
        <v>713</v>
      </c>
      <c r="D64">
        <v>18246</v>
      </c>
      <c r="E64">
        <v>1599</v>
      </c>
      <c r="F64">
        <v>86</v>
      </c>
      <c r="G64">
        <v>1</v>
      </c>
      <c r="H64">
        <v>37</v>
      </c>
      <c r="I64">
        <v>3.47</v>
      </c>
      <c r="J64">
        <v>88.75</v>
      </c>
      <c r="K64">
        <v>3.91</v>
      </c>
      <c r="L64">
        <v>19743</v>
      </c>
      <c r="M64">
        <v>815</v>
      </c>
      <c r="N64">
        <v>4.13</v>
      </c>
      <c r="O64" t="s">
        <v>18</v>
      </c>
      <c r="P64">
        <f>Table1[Active]/Table1[Confirmed]*100</f>
        <v>7.7779939682848518</v>
      </c>
      <c r="Q64">
        <f>Table1[New_cases]/Table1[Confirmed_last_week]*100</f>
        <v>0.43559742693612924</v>
      </c>
      <c r="R64">
        <f>Table1[Confirmed]-Table1[Recovered]</f>
        <v>2312</v>
      </c>
      <c r="S64">
        <f>Table1[Deaths]/Table1[Confirmed]*100</f>
        <v>3.4682362097480302</v>
      </c>
      <c r="T64">
        <f>D64:D250/Table1[Deaths]</f>
        <v>25.590462833099579</v>
      </c>
    </row>
    <row r="65" spans="1:20" x14ac:dyDescent="0.25">
      <c r="A65" t="s">
        <v>141</v>
      </c>
      <c r="B65">
        <v>18752</v>
      </c>
      <c r="C65">
        <v>48</v>
      </c>
      <c r="D65">
        <v>13754</v>
      </c>
      <c r="E65">
        <v>4950</v>
      </c>
      <c r="F65">
        <v>139</v>
      </c>
      <c r="G65">
        <v>3</v>
      </c>
      <c r="H65">
        <v>626</v>
      </c>
      <c r="I65">
        <v>0.26</v>
      </c>
      <c r="J65">
        <v>73.349999999999994</v>
      </c>
      <c r="K65">
        <v>0.35</v>
      </c>
      <c r="L65">
        <v>17844</v>
      </c>
      <c r="M65">
        <v>908</v>
      </c>
      <c r="N65">
        <v>5.09</v>
      </c>
      <c r="O65" t="s">
        <v>34</v>
      </c>
      <c r="P65">
        <f>Table1[Active]/Table1[Confirmed]*100</f>
        <v>26.397184300341298</v>
      </c>
      <c r="Q65">
        <f>Table1[New_cases]/Table1[Confirmed_last_week]*100</f>
        <v>0.77897332436673394</v>
      </c>
      <c r="R65">
        <f>Table1[Confirmed]-Table1[Recovered]</f>
        <v>4998</v>
      </c>
      <c r="S65">
        <f>Table1[Deaths]/Table1[Confirmed]*100</f>
        <v>0.25597269624573377</v>
      </c>
      <c r="T65">
        <f>D65:D251/Table1[Deaths]</f>
        <v>286.54166666666669</v>
      </c>
    </row>
    <row r="66" spans="1:20" x14ac:dyDescent="0.25">
      <c r="A66" t="s">
        <v>112</v>
      </c>
      <c r="B66">
        <v>17975</v>
      </c>
      <c r="C66">
        <v>285</v>
      </c>
      <c r="D66">
        <v>7833</v>
      </c>
      <c r="E66">
        <v>9857</v>
      </c>
      <c r="F66">
        <v>372</v>
      </c>
      <c r="G66">
        <v>5</v>
      </c>
      <c r="H66">
        <v>90</v>
      </c>
      <c r="I66">
        <v>1.59</v>
      </c>
      <c r="J66">
        <v>43.58</v>
      </c>
      <c r="K66">
        <v>3.64</v>
      </c>
      <c r="L66">
        <v>13771</v>
      </c>
      <c r="M66">
        <v>4204</v>
      </c>
      <c r="N66">
        <v>30.53</v>
      </c>
      <c r="O66" t="s">
        <v>20</v>
      </c>
      <c r="P66">
        <f>Table1[Active]/Table1[Confirmed]*100</f>
        <v>54.837273991655081</v>
      </c>
      <c r="Q66">
        <f>Table1[New_cases]/Table1[Confirmed_last_week]*100</f>
        <v>2.7013288795294459</v>
      </c>
      <c r="R66">
        <f>Table1[Confirmed]-Table1[Recovered]</f>
        <v>10142</v>
      </c>
      <c r="S66">
        <f>Table1[Deaths]/Table1[Confirmed]*100</f>
        <v>1.5855354659248957</v>
      </c>
      <c r="T66">
        <f>D66:D252/Table1[Deaths]</f>
        <v>27.484210526315788</v>
      </c>
    </row>
    <row r="67" spans="1:20" x14ac:dyDescent="0.25">
      <c r="A67" t="s">
        <v>52</v>
      </c>
      <c r="B67">
        <v>17110</v>
      </c>
      <c r="C67">
        <v>391</v>
      </c>
      <c r="D67">
        <v>14539</v>
      </c>
      <c r="E67">
        <v>2180</v>
      </c>
      <c r="F67">
        <v>402</v>
      </c>
      <c r="G67">
        <v>6</v>
      </c>
      <c r="H67">
        <v>0</v>
      </c>
      <c r="I67">
        <v>2.29</v>
      </c>
      <c r="J67">
        <v>84.97</v>
      </c>
      <c r="K67">
        <v>2.69</v>
      </c>
      <c r="L67">
        <v>16157</v>
      </c>
      <c r="M67">
        <v>953</v>
      </c>
      <c r="N67">
        <v>5.9</v>
      </c>
      <c r="O67" t="s">
        <v>20</v>
      </c>
      <c r="P67">
        <f>Table1[Active]/Table1[Confirmed]*100</f>
        <v>12.741087083576854</v>
      </c>
      <c r="Q67">
        <f>Table1[New_cases]/Table1[Confirmed_last_week]*100</f>
        <v>2.4880856594664853</v>
      </c>
      <c r="R67">
        <f>Table1[Confirmed]-Table1[Recovered]</f>
        <v>2571</v>
      </c>
      <c r="S67">
        <f>Table1[Deaths]/Table1[Confirmed]*100</f>
        <v>2.2852133255406195</v>
      </c>
      <c r="T67">
        <f>D67:D253/Table1[Deaths]</f>
        <v>37.184143222506393</v>
      </c>
    </row>
    <row r="68" spans="1:20" x14ac:dyDescent="0.25">
      <c r="A68" t="s">
        <v>202</v>
      </c>
      <c r="B68">
        <v>15988</v>
      </c>
      <c r="C68">
        <v>146</v>
      </c>
      <c r="D68">
        <v>9959</v>
      </c>
      <c r="E68">
        <v>5883</v>
      </c>
      <c r="F68">
        <v>525</v>
      </c>
      <c r="G68">
        <v>4</v>
      </c>
      <c r="H68">
        <v>213</v>
      </c>
      <c r="I68">
        <v>0.91</v>
      </c>
      <c r="J68">
        <v>62.29</v>
      </c>
      <c r="K68">
        <v>1.47</v>
      </c>
      <c r="L68">
        <v>12334</v>
      </c>
      <c r="M68">
        <v>3654</v>
      </c>
      <c r="N68">
        <v>29.63</v>
      </c>
      <c r="O68" t="s">
        <v>24</v>
      </c>
      <c r="P68">
        <f>Table1[Active]/Table1[Confirmed]*100</f>
        <v>36.79634726044533</v>
      </c>
      <c r="Q68">
        <f>Table1[New_cases]/Table1[Confirmed_last_week]*100</f>
        <v>4.2565266742338252</v>
      </c>
      <c r="R68">
        <f>Table1[Confirmed]-Table1[Recovered]</f>
        <v>6029</v>
      </c>
      <c r="S68">
        <f>Table1[Deaths]/Table1[Confirmed]*100</f>
        <v>0.91318488866649983</v>
      </c>
      <c r="T68">
        <f>D68:D254/Table1[Deaths]</f>
        <v>68.212328767123282</v>
      </c>
    </row>
    <row r="69" spans="1:20" x14ac:dyDescent="0.25">
      <c r="A69" t="s">
        <v>63</v>
      </c>
      <c r="B69">
        <v>15841</v>
      </c>
      <c r="C69">
        <v>115</v>
      </c>
      <c r="D69">
        <v>3824</v>
      </c>
      <c r="E69">
        <v>11902</v>
      </c>
      <c r="F69">
        <v>612</v>
      </c>
      <c r="G69">
        <v>11</v>
      </c>
      <c r="H69">
        <v>88</v>
      </c>
      <c r="I69">
        <v>0.73</v>
      </c>
      <c r="J69">
        <v>24.14</v>
      </c>
      <c r="K69">
        <v>3.01</v>
      </c>
      <c r="L69">
        <v>11534</v>
      </c>
      <c r="M69">
        <v>4307</v>
      </c>
      <c r="N69">
        <v>37.340000000000003</v>
      </c>
      <c r="O69" t="s">
        <v>24</v>
      </c>
      <c r="P69">
        <f>Table1[Active]/Table1[Confirmed]*100</f>
        <v>75.13414557161795</v>
      </c>
      <c r="Q69">
        <f>Table1[New_cases]/Table1[Confirmed_last_week]*100</f>
        <v>5.3060516733136813</v>
      </c>
      <c r="R69">
        <f>Table1[Confirmed]-Table1[Recovered]</f>
        <v>12017</v>
      </c>
      <c r="S69">
        <f>Table1[Deaths]/Table1[Confirmed]*100</f>
        <v>0.72596426993245378</v>
      </c>
      <c r="T69">
        <f>D69:D255/Table1[Deaths]</f>
        <v>33.252173913043478</v>
      </c>
    </row>
    <row r="70" spans="1:20" x14ac:dyDescent="0.25">
      <c r="A70" t="s">
        <v>64</v>
      </c>
      <c r="B70">
        <v>15655</v>
      </c>
      <c r="C70">
        <v>96</v>
      </c>
      <c r="D70">
        <v>10361</v>
      </c>
      <c r="E70">
        <v>5198</v>
      </c>
      <c r="F70">
        <v>59</v>
      </c>
      <c r="G70">
        <v>0</v>
      </c>
      <c r="H70">
        <v>183</v>
      </c>
      <c r="I70">
        <v>0.61</v>
      </c>
      <c r="J70">
        <v>66.180000000000007</v>
      </c>
      <c r="K70">
        <v>0.93</v>
      </c>
      <c r="L70">
        <v>14312</v>
      </c>
      <c r="M70">
        <v>1343</v>
      </c>
      <c r="N70">
        <v>9.3800000000000008</v>
      </c>
      <c r="O70" t="s">
        <v>20</v>
      </c>
      <c r="P70">
        <f>Table1[Active]/Table1[Confirmed]*100</f>
        <v>33.203449377195781</v>
      </c>
      <c r="Q70">
        <f>Table1[New_cases]/Table1[Confirmed_last_week]*100</f>
        <v>0.41224147568474012</v>
      </c>
      <c r="R70">
        <f>Table1[Confirmed]-Table1[Recovered]</f>
        <v>5294</v>
      </c>
      <c r="S70">
        <f>Table1[Deaths]/Table1[Confirmed]*100</f>
        <v>0.61322261258383903</v>
      </c>
      <c r="T70">
        <f>D70:D256/Table1[Deaths]</f>
        <v>107.92708333333333</v>
      </c>
    </row>
    <row r="71" spans="1:20" x14ac:dyDescent="0.25">
      <c r="A71" t="s">
        <v>68</v>
      </c>
      <c r="B71">
        <v>15516</v>
      </c>
      <c r="C71">
        <v>373</v>
      </c>
      <c r="D71">
        <v>11428</v>
      </c>
      <c r="E71">
        <v>3715</v>
      </c>
      <c r="F71">
        <v>192</v>
      </c>
      <c r="G71">
        <v>2</v>
      </c>
      <c r="H71">
        <v>0</v>
      </c>
      <c r="I71">
        <v>2.4</v>
      </c>
      <c r="J71">
        <v>73.650000000000006</v>
      </c>
      <c r="K71">
        <v>3.26</v>
      </c>
      <c r="L71">
        <v>14098</v>
      </c>
      <c r="M71">
        <v>1418</v>
      </c>
      <c r="N71">
        <v>10.06</v>
      </c>
      <c r="O71" t="s">
        <v>18</v>
      </c>
      <c r="P71">
        <f>Table1[Active]/Table1[Confirmed]*100</f>
        <v>23.94302655323537</v>
      </c>
      <c r="Q71">
        <f>Table1[New_cases]/Table1[Confirmed_last_week]*100</f>
        <v>1.361895304298482</v>
      </c>
      <c r="R71">
        <f>Table1[Confirmed]-Table1[Recovered]</f>
        <v>4088</v>
      </c>
      <c r="S71">
        <f>Table1[Deaths]/Table1[Confirmed]*100</f>
        <v>2.4039700953854086</v>
      </c>
      <c r="T71">
        <f>D71:D257/Table1[Deaths]</f>
        <v>30.638069705093834</v>
      </c>
    </row>
    <row r="72" spans="1:20" x14ac:dyDescent="0.25">
      <c r="A72" t="s">
        <v>27</v>
      </c>
      <c r="B72">
        <v>15303</v>
      </c>
      <c r="C72">
        <v>167</v>
      </c>
      <c r="D72">
        <v>9311</v>
      </c>
      <c r="E72">
        <v>5825</v>
      </c>
      <c r="F72">
        <v>368</v>
      </c>
      <c r="G72">
        <v>6</v>
      </c>
      <c r="H72">
        <v>137</v>
      </c>
      <c r="I72">
        <v>1.0900000000000001</v>
      </c>
      <c r="J72">
        <v>60.84</v>
      </c>
      <c r="K72">
        <v>1.79</v>
      </c>
      <c r="L72">
        <v>12428</v>
      </c>
      <c r="M72">
        <v>2875</v>
      </c>
      <c r="N72">
        <v>23.13</v>
      </c>
      <c r="O72" t="s">
        <v>28</v>
      </c>
      <c r="P72">
        <f>Table1[Active]/Table1[Confirmed]*100</f>
        <v>38.064431810756062</v>
      </c>
      <c r="Q72">
        <f>Table1[New_cases]/Table1[Confirmed_last_week]*100</f>
        <v>2.9610556807209529</v>
      </c>
      <c r="R72">
        <f>Table1[Confirmed]-Table1[Recovered]</f>
        <v>5992</v>
      </c>
      <c r="S72">
        <f>Table1[Deaths]/Table1[Confirmed]*100</f>
        <v>1.0912892896817616</v>
      </c>
      <c r="T72">
        <f>D72:D258/Table1[Deaths]</f>
        <v>55.754491017964071</v>
      </c>
    </row>
    <row r="73" spans="1:20" x14ac:dyDescent="0.25">
      <c r="A73" t="s">
        <v>75</v>
      </c>
      <c r="B73">
        <v>15035</v>
      </c>
      <c r="C73">
        <v>408</v>
      </c>
      <c r="D73">
        <v>7778</v>
      </c>
      <c r="E73">
        <v>6849</v>
      </c>
      <c r="F73">
        <v>405</v>
      </c>
      <c r="G73">
        <v>8</v>
      </c>
      <c r="H73">
        <v>130</v>
      </c>
      <c r="I73">
        <v>2.71</v>
      </c>
      <c r="J73">
        <v>51.73</v>
      </c>
      <c r="K73">
        <v>5.25</v>
      </c>
      <c r="L73">
        <v>12207</v>
      </c>
      <c r="M73">
        <v>2828</v>
      </c>
      <c r="N73">
        <v>23.17</v>
      </c>
      <c r="O73" t="s">
        <v>24</v>
      </c>
      <c r="P73">
        <f>Table1[Active]/Table1[Confirmed]*100</f>
        <v>45.553708014632527</v>
      </c>
      <c r="Q73">
        <f>Table1[New_cases]/Table1[Confirmed_last_week]*100</f>
        <v>3.3177684934873435</v>
      </c>
      <c r="R73">
        <f>Table1[Confirmed]-Table1[Recovered]</f>
        <v>7257</v>
      </c>
      <c r="S73">
        <f>Table1[Deaths]/Table1[Confirmed]*100</f>
        <v>2.7136681077485867</v>
      </c>
      <c r="T73">
        <f>D73:D259/Table1[Deaths]</f>
        <v>19.063725490196077</v>
      </c>
    </row>
    <row r="74" spans="1:20" x14ac:dyDescent="0.25">
      <c r="A74" t="s">
        <v>80</v>
      </c>
      <c r="B74">
        <v>14547</v>
      </c>
      <c r="C74">
        <v>228</v>
      </c>
      <c r="D74">
        <v>6386</v>
      </c>
      <c r="E74">
        <v>7933</v>
      </c>
      <c r="F74">
        <v>579</v>
      </c>
      <c r="G74">
        <v>5</v>
      </c>
      <c r="H74">
        <v>170</v>
      </c>
      <c r="I74">
        <v>1.57</v>
      </c>
      <c r="J74">
        <v>43.9</v>
      </c>
      <c r="K74">
        <v>3.57</v>
      </c>
      <c r="L74">
        <v>10207</v>
      </c>
      <c r="M74">
        <v>4340</v>
      </c>
      <c r="N74">
        <v>42.52</v>
      </c>
      <c r="O74" t="s">
        <v>20</v>
      </c>
      <c r="P74">
        <f>Table1[Active]/Table1[Confirmed]*100</f>
        <v>54.53358080703925</v>
      </c>
      <c r="Q74">
        <f>Table1[New_cases]/Table1[Confirmed_last_week]*100</f>
        <v>5.6725776427941614</v>
      </c>
      <c r="R74">
        <f>Table1[Confirmed]-Table1[Recovered]</f>
        <v>8161</v>
      </c>
      <c r="S74">
        <f>Table1[Deaths]/Table1[Confirmed]*100</f>
        <v>1.5673334708187256</v>
      </c>
      <c r="T74">
        <f>D74:D260/Table1[Deaths]</f>
        <v>28.008771929824562</v>
      </c>
    </row>
    <row r="75" spans="1:20" x14ac:dyDescent="0.25">
      <c r="A75" t="s">
        <v>177</v>
      </c>
      <c r="B75">
        <v>14203</v>
      </c>
      <c r="C75">
        <v>300</v>
      </c>
      <c r="D75">
        <v>13007</v>
      </c>
      <c r="E75">
        <v>896</v>
      </c>
      <c r="F75">
        <v>28</v>
      </c>
      <c r="G75">
        <v>1</v>
      </c>
      <c r="H75">
        <v>102</v>
      </c>
      <c r="I75">
        <v>2.11</v>
      </c>
      <c r="J75">
        <v>91.58</v>
      </c>
      <c r="K75">
        <v>2.31</v>
      </c>
      <c r="L75">
        <v>13816</v>
      </c>
      <c r="M75">
        <v>387</v>
      </c>
      <c r="N75">
        <v>2.8</v>
      </c>
      <c r="O75" t="s">
        <v>28</v>
      </c>
      <c r="P75">
        <f>Table1[Active]/Table1[Confirmed]*100</f>
        <v>6.3085263676688026</v>
      </c>
      <c r="Q75">
        <f>Table1[New_cases]/Table1[Confirmed_last_week]*100</f>
        <v>0.2026635784597568</v>
      </c>
      <c r="R75">
        <f>Table1[Confirmed]-Table1[Recovered]</f>
        <v>1196</v>
      </c>
      <c r="S75">
        <f>Table1[Deaths]/Table1[Confirmed]*100</f>
        <v>2.1122298106033934</v>
      </c>
      <c r="T75">
        <f>D75:D261/Table1[Deaths]</f>
        <v>43.356666666666669</v>
      </c>
    </row>
    <row r="76" spans="1:20" x14ac:dyDescent="0.25">
      <c r="A76" t="s">
        <v>69</v>
      </c>
      <c r="B76">
        <v>13761</v>
      </c>
      <c r="C76">
        <v>613</v>
      </c>
      <c r="D76">
        <v>12605</v>
      </c>
      <c r="E76">
        <v>543</v>
      </c>
      <c r="F76">
        <v>109</v>
      </c>
      <c r="G76">
        <v>0</v>
      </c>
      <c r="H76">
        <v>77</v>
      </c>
      <c r="I76">
        <v>4.45</v>
      </c>
      <c r="J76">
        <v>91.6</v>
      </c>
      <c r="K76">
        <v>4.8600000000000003</v>
      </c>
      <c r="L76">
        <v>13453</v>
      </c>
      <c r="M76">
        <v>308</v>
      </c>
      <c r="N76">
        <v>2.29</v>
      </c>
      <c r="O76" t="s">
        <v>18</v>
      </c>
      <c r="P76">
        <f>Table1[Active]/Table1[Confirmed]*100</f>
        <v>3.9459341617614996</v>
      </c>
      <c r="Q76">
        <f>Table1[New_cases]/Table1[Confirmed_last_week]*100</f>
        <v>0.81022820188805467</v>
      </c>
      <c r="R76">
        <f>Table1[Confirmed]-Table1[Recovered]</f>
        <v>1156</v>
      </c>
      <c r="S76">
        <f>Table1[Deaths]/Table1[Confirmed]*100</f>
        <v>4.4546181236828719</v>
      </c>
      <c r="T76">
        <f>D76:D262/Table1[Deaths]</f>
        <v>20.562805872756933</v>
      </c>
    </row>
    <row r="77" spans="1:20" x14ac:dyDescent="0.25">
      <c r="A77" t="s">
        <v>181</v>
      </c>
      <c r="B77">
        <v>11424</v>
      </c>
      <c r="C77">
        <v>720</v>
      </c>
      <c r="D77">
        <v>5939</v>
      </c>
      <c r="E77">
        <v>4765</v>
      </c>
      <c r="F77">
        <v>39</v>
      </c>
      <c r="G77">
        <v>3</v>
      </c>
      <c r="H77">
        <v>49</v>
      </c>
      <c r="I77">
        <v>6.3</v>
      </c>
      <c r="J77">
        <v>51.99</v>
      </c>
      <c r="K77">
        <v>12.12</v>
      </c>
      <c r="L77">
        <v>10992</v>
      </c>
      <c r="M77">
        <v>432</v>
      </c>
      <c r="N77">
        <v>3.93</v>
      </c>
      <c r="O77" t="s">
        <v>16</v>
      </c>
      <c r="P77">
        <f>Table1[Active]/Table1[Confirmed]*100</f>
        <v>41.710434173669469</v>
      </c>
      <c r="Q77">
        <f>Table1[New_cases]/Table1[Confirmed_last_week]*100</f>
        <v>0.35480349344978168</v>
      </c>
      <c r="R77">
        <f>Table1[Confirmed]-Table1[Recovered]</f>
        <v>5485</v>
      </c>
      <c r="S77">
        <f>Table1[Deaths]/Table1[Confirmed]*100</f>
        <v>6.3025210084033612</v>
      </c>
      <c r="T77">
        <f>D77:D263/Table1[Deaths]</f>
        <v>8.2486111111111118</v>
      </c>
    </row>
    <row r="78" spans="1:20" x14ac:dyDescent="0.25">
      <c r="A78" t="s">
        <v>46</v>
      </c>
      <c r="B78">
        <v>10621</v>
      </c>
      <c r="C78">
        <v>347</v>
      </c>
      <c r="D78">
        <v>5585</v>
      </c>
      <c r="E78">
        <v>4689</v>
      </c>
      <c r="F78">
        <v>194</v>
      </c>
      <c r="G78">
        <v>7</v>
      </c>
      <c r="H78">
        <v>230</v>
      </c>
      <c r="I78">
        <v>3.27</v>
      </c>
      <c r="J78">
        <v>52.58</v>
      </c>
      <c r="K78">
        <v>6.21</v>
      </c>
      <c r="L78">
        <v>8929</v>
      </c>
      <c r="M78">
        <v>1692</v>
      </c>
      <c r="N78">
        <v>18.95</v>
      </c>
      <c r="O78" t="s">
        <v>18</v>
      </c>
      <c r="P78">
        <f>Table1[Active]/Table1[Confirmed]*100</f>
        <v>44.148385274456267</v>
      </c>
      <c r="Q78">
        <f>Table1[New_cases]/Table1[Confirmed_last_week]*100</f>
        <v>2.1726957106058911</v>
      </c>
      <c r="R78">
        <f>Table1[Confirmed]-Table1[Recovered]</f>
        <v>5036</v>
      </c>
      <c r="S78">
        <f>Table1[Deaths]/Table1[Confirmed]*100</f>
        <v>3.2671123246398639</v>
      </c>
      <c r="T78">
        <f>D78:D264/Table1[Deaths]</f>
        <v>16.095100864553313</v>
      </c>
    </row>
    <row r="79" spans="1:20" x14ac:dyDescent="0.25">
      <c r="A79" t="s">
        <v>204</v>
      </c>
      <c r="B79">
        <v>10621</v>
      </c>
      <c r="C79">
        <v>78</v>
      </c>
      <c r="D79">
        <v>3752</v>
      </c>
      <c r="E79">
        <v>6791</v>
      </c>
      <c r="F79">
        <v>152</v>
      </c>
      <c r="G79">
        <v>2</v>
      </c>
      <c r="H79">
        <v>0</v>
      </c>
      <c r="I79">
        <v>0.73</v>
      </c>
      <c r="J79">
        <v>35.33</v>
      </c>
      <c r="K79">
        <v>2.08</v>
      </c>
      <c r="L79">
        <v>8916</v>
      </c>
      <c r="M79">
        <v>1705</v>
      </c>
      <c r="N79">
        <v>19.12</v>
      </c>
      <c r="O79" t="s">
        <v>16</v>
      </c>
      <c r="P79">
        <f>Table1[Active]/Table1[Confirmed]*100</f>
        <v>63.939365408153662</v>
      </c>
      <c r="Q79">
        <f>Table1[New_cases]/Table1[Confirmed_last_week]*100</f>
        <v>1.7048003589053389</v>
      </c>
      <c r="R79">
        <f>Table1[Confirmed]-Table1[Recovered]</f>
        <v>6869</v>
      </c>
      <c r="S79">
        <f>Table1[Deaths]/Table1[Confirmed]*100</f>
        <v>0.73439412484700128</v>
      </c>
      <c r="T79">
        <f>D79:D265/Table1[Deaths]</f>
        <v>48.102564102564102</v>
      </c>
    </row>
    <row r="80" spans="1:20" x14ac:dyDescent="0.25">
      <c r="A80" t="s">
        <v>42</v>
      </c>
      <c r="B80">
        <v>10498</v>
      </c>
      <c r="C80">
        <v>294</v>
      </c>
      <c r="D80">
        <v>4930</v>
      </c>
      <c r="E80">
        <v>5274</v>
      </c>
      <c r="F80">
        <v>731</v>
      </c>
      <c r="G80">
        <v>14</v>
      </c>
      <c r="H80">
        <v>375</v>
      </c>
      <c r="I80">
        <v>2.8</v>
      </c>
      <c r="J80">
        <v>46.96</v>
      </c>
      <c r="K80">
        <v>5.96</v>
      </c>
      <c r="L80">
        <v>8479</v>
      </c>
      <c r="M80">
        <v>2019</v>
      </c>
      <c r="N80">
        <v>23.81</v>
      </c>
      <c r="O80" t="s">
        <v>18</v>
      </c>
      <c r="P80">
        <f>Table1[Active]/Table1[Confirmed]*100</f>
        <v>50.238140598209178</v>
      </c>
      <c r="Q80">
        <f>Table1[New_cases]/Table1[Confirmed_last_week]*100</f>
        <v>8.6212996815662226</v>
      </c>
      <c r="R80">
        <f>Table1[Confirmed]-Table1[Recovered]</f>
        <v>5568</v>
      </c>
      <c r="S80">
        <f>Table1[Deaths]/Table1[Confirmed]*100</f>
        <v>2.8005334349399886</v>
      </c>
      <c r="T80">
        <f>D80:D266/Table1[Deaths]</f>
        <v>16.768707482993197</v>
      </c>
    </row>
    <row r="81" spans="1:20" x14ac:dyDescent="0.25">
      <c r="A81" t="s">
        <v>147</v>
      </c>
      <c r="B81">
        <v>10213</v>
      </c>
      <c r="C81">
        <v>466</v>
      </c>
      <c r="D81">
        <v>5564</v>
      </c>
      <c r="E81">
        <v>4183</v>
      </c>
      <c r="F81">
        <v>127</v>
      </c>
      <c r="G81">
        <v>6</v>
      </c>
      <c r="H81">
        <v>137</v>
      </c>
      <c r="I81">
        <v>4.5599999999999996</v>
      </c>
      <c r="J81">
        <v>54.48</v>
      </c>
      <c r="K81">
        <v>8.3800000000000008</v>
      </c>
      <c r="L81">
        <v>9249</v>
      </c>
      <c r="M81">
        <v>964</v>
      </c>
      <c r="N81">
        <v>10.42</v>
      </c>
      <c r="O81" t="s">
        <v>18</v>
      </c>
      <c r="P81">
        <f>Table1[Active]/Table1[Confirmed]*100</f>
        <v>40.95760305492999</v>
      </c>
      <c r="Q81">
        <f>Table1[New_cases]/Table1[Confirmed_last_week]*100</f>
        <v>1.3731214185317331</v>
      </c>
      <c r="R81">
        <f>Table1[Confirmed]-Table1[Recovered]</f>
        <v>4649</v>
      </c>
      <c r="S81">
        <f>Table1[Deaths]/Table1[Confirmed]*100</f>
        <v>4.562812102222658</v>
      </c>
      <c r="T81">
        <f>D81:D267/Table1[Deaths]</f>
        <v>11.939914163090128</v>
      </c>
    </row>
    <row r="82" spans="1:20" x14ac:dyDescent="0.25">
      <c r="A82" t="s">
        <v>168</v>
      </c>
      <c r="B82">
        <v>9764</v>
      </c>
      <c r="C82">
        <v>194</v>
      </c>
      <c r="D82">
        <v>6477</v>
      </c>
      <c r="E82">
        <v>3093</v>
      </c>
      <c r="F82">
        <v>83</v>
      </c>
      <c r="G82">
        <v>3</v>
      </c>
      <c r="H82">
        <v>68</v>
      </c>
      <c r="I82">
        <v>1.99</v>
      </c>
      <c r="J82">
        <v>66.34</v>
      </c>
      <c r="K82">
        <v>3</v>
      </c>
      <c r="L82">
        <v>8948</v>
      </c>
      <c r="M82">
        <v>816</v>
      </c>
      <c r="N82">
        <v>9.1199999999999992</v>
      </c>
      <c r="O82" t="s">
        <v>20</v>
      </c>
      <c r="P82">
        <f>Table1[Active]/Table1[Confirmed]*100</f>
        <v>31.677591151167555</v>
      </c>
      <c r="Q82">
        <f>Table1[New_cases]/Table1[Confirmed_last_week]*100</f>
        <v>0.92758158247653111</v>
      </c>
      <c r="R82">
        <f>Table1[Confirmed]-Table1[Recovered]</f>
        <v>3287</v>
      </c>
      <c r="S82">
        <f>Table1[Deaths]/Table1[Confirmed]*100</f>
        <v>1.9868906185989348</v>
      </c>
      <c r="T82">
        <f>D82:D268/Table1[Deaths]</f>
        <v>33.386597938144327</v>
      </c>
    </row>
    <row r="83" spans="1:20" x14ac:dyDescent="0.25">
      <c r="A83" t="s">
        <v>125</v>
      </c>
      <c r="B83">
        <v>9690</v>
      </c>
      <c r="C83">
        <v>91</v>
      </c>
      <c r="D83">
        <v>6260</v>
      </c>
      <c r="E83">
        <v>3339</v>
      </c>
      <c r="F83">
        <v>395</v>
      </c>
      <c r="G83">
        <v>6</v>
      </c>
      <c r="H83">
        <v>681</v>
      </c>
      <c r="I83">
        <v>0.94</v>
      </c>
      <c r="J83">
        <v>64.599999999999994</v>
      </c>
      <c r="K83">
        <v>1.45</v>
      </c>
      <c r="L83">
        <v>7153</v>
      </c>
      <c r="M83">
        <v>2537</v>
      </c>
      <c r="N83">
        <v>35.47</v>
      </c>
      <c r="O83" t="s">
        <v>20</v>
      </c>
      <c r="P83">
        <f>Table1[Active]/Table1[Confirmed]*100</f>
        <v>34.458204334365327</v>
      </c>
      <c r="Q83">
        <f>Table1[New_cases]/Table1[Confirmed_last_week]*100</f>
        <v>5.5221585348804698</v>
      </c>
      <c r="R83">
        <f>Table1[Confirmed]-Table1[Recovered]</f>
        <v>3430</v>
      </c>
      <c r="S83">
        <f>Table1[Deaths]/Table1[Confirmed]*100</f>
        <v>0.9391124871001032</v>
      </c>
      <c r="T83">
        <f>D83:D269/Table1[Deaths]</f>
        <v>68.791208791208788</v>
      </c>
    </row>
    <row r="84" spans="1:20" x14ac:dyDescent="0.25">
      <c r="A84" t="s">
        <v>148</v>
      </c>
      <c r="B84">
        <v>9132</v>
      </c>
      <c r="C84">
        <v>255</v>
      </c>
      <c r="D84">
        <v>8752</v>
      </c>
      <c r="E84">
        <v>125</v>
      </c>
      <c r="F84">
        <v>15</v>
      </c>
      <c r="G84">
        <v>0</v>
      </c>
      <c r="H84">
        <v>0</v>
      </c>
      <c r="I84">
        <v>2.79</v>
      </c>
      <c r="J84">
        <v>95.84</v>
      </c>
      <c r="K84">
        <v>2.91</v>
      </c>
      <c r="L84">
        <v>9034</v>
      </c>
      <c r="M84">
        <v>98</v>
      </c>
      <c r="N84">
        <v>1.08</v>
      </c>
      <c r="O84" t="s">
        <v>18</v>
      </c>
      <c r="P84">
        <f>Table1[Active]/Table1[Confirmed]*100</f>
        <v>1.3688129653964083</v>
      </c>
      <c r="Q84">
        <f>Table1[New_cases]/Table1[Confirmed_last_week]*100</f>
        <v>0.16603940668585346</v>
      </c>
      <c r="R84">
        <f>Table1[Confirmed]-Table1[Recovered]</f>
        <v>380</v>
      </c>
      <c r="S84">
        <f>Table1[Deaths]/Table1[Confirmed]*100</f>
        <v>2.7923784494086727</v>
      </c>
      <c r="T84">
        <f>D84:D270/Table1[Deaths]</f>
        <v>34.321568627450979</v>
      </c>
    </row>
    <row r="85" spans="1:20" x14ac:dyDescent="0.25">
      <c r="A85" t="s">
        <v>127</v>
      </c>
      <c r="B85">
        <v>8904</v>
      </c>
      <c r="C85">
        <v>124</v>
      </c>
      <c r="D85">
        <v>8601</v>
      </c>
      <c r="E85">
        <v>179</v>
      </c>
      <c r="F85">
        <v>7</v>
      </c>
      <c r="G85">
        <v>0</v>
      </c>
      <c r="H85">
        <v>1</v>
      </c>
      <c r="I85">
        <v>1.39</v>
      </c>
      <c r="J85">
        <v>96.6</v>
      </c>
      <c r="K85">
        <v>1.44</v>
      </c>
      <c r="L85">
        <v>8800</v>
      </c>
      <c r="M85">
        <v>104</v>
      </c>
      <c r="N85">
        <v>1.18</v>
      </c>
      <c r="O85" t="s">
        <v>28</v>
      </c>
      <c r="P85">
        <f>Table1[Active]/Table1[Confirmed]*100</f>
        <v>2.0103324348607368</v>
      </c>
      <c r="Q85">
        <f>Table1[New_cases]/Table1[Confirmed_last_week]*100</f>
        <v>7.9545454545454544E-2</v>
      </c>
      <c r="R85">
        <f>Table1[Confirmed]-Table1[Recovered]</f>
        <v>303</v>
      </c>
      <c r="S85">
        <f>Table1[Deaths]/Table1[Confirmed]*100</f>
        <v>1.3926325247079965</v>
      </c>
      <c r="T85">
        <f>D85:D271/Table1[Deaths]</f>
        <v>69.362903225806448</v>
      </c>
    </row>
    <row r="86" spans="1:20" x14ac:dyDescent="0.25">
      <c r="A86" t="s">
        <v>62</v>
      </c>
      <c r="B86">
        <v>8844</v>
      </c>
      <c r="C86">
        <v>208</v>
      </c>
      <c r="D86">
        <v>5700</v>
      </c>
      <c r="E86">
        <v>2936</v>
      </c>
      <c r="F86">
        <v>13</v>
      </c>
      <c r="G86">
        <v>4</v>
      </c>
      <c r="H86">
        <v>190</v>
      </c>
      <c r="I86">
        <v>2.35</v>
      </c>
      <c r="J86">
        <v>64.45</v>
      </c>
      <c r="K86">
        <v>3.65</v>
      </c>
      <c r="L86">
        <v>8443</v>
      </c>
      <c r="M86">
        <v>401</v>
      </c>
      <c r="N86">
        <v>4.75</v>
      </c>
      <c r="O86" t="s">
        <v>20</v>
      </c>
      <c r="P86">
        <f>Table1[Active]/Table1[Confirmed]*100</f>
        <v>33.197648123021253</v>
      </c>
      <c r="Q86">
        <f>Table1[New_cases]/Table1[Confirmed_last_week]*100</f>
        <v>0.15397370602866278</v>
      </c>
      <c r="R86">
        <f>Table1[Confirmed]-Table1[Recovered]</f>
        <v>3144</v>
      </c>
      <c r="S86">
        <f>Table1[Deaths]/Table1[Confirmed]*100</f>
        <v>2.3518769787426503</v>
      </c>
      <c r="T86">
        <f>D86:D272/Table1[Deaths]</f>
        <v>27.403846153846153</v>
      </c>
    </row>
    <row r="87" spans="1:20" x14ac:dyDescent="0.25">
      <c r="A87" t="s">
        <v>113</v>
      </c>
      <c r="B87">
        <v>7413</v>
      </c>
      <c r="C87">
        <v>185</v>
      </c>
      <c r="D87">
        <v>4027</v>
      </c>
      <c r="E87">
        <v>3201</v>
      </c>
      <c r="F87">
        <v>496</v>
      </c>
      <c r="G87">
        <v>16</v>
      </c>
      <c r="H87">
        <v>274</v>
      </c>
      <c r="I87">
        <v>2.5</v>
      </c>
      <c r="J87">
        <v>54.32</v>
      </c>
      <c r="K87">
        <v>4.59</v>
      </c>
      <c r="L87">
        <v>5877</v>
      </c>
      <c r="M87">
        <v>1536</v>
      </c>
      <c r="N87">
        <v>26.14</v>
      </c>
      <c r="O87" t="s">
        <v>18</v>
      </c>
      <c r="P87">
        <f>Table1[Active]/Table1[Confirmed]*100</f>
        <v>43.180898421691623</v>
      </c>
      <c r="Q87">
        <f>Table1[New_cases]/Table1[Confirmed_last_week]*100</f>
        <v>8.4396801088990987</v>
      </c>
      <c r="R87">
        <f>Table1[Confirmed]-Table1[Recovered]</f>
        <v>3386</v>
      </c>
      <c r="S87">
        <f>Table1[Deaths]/Table1[Confirmed]*100</f>
        <v>2.4956158100634021</v>
      </c>
      <c r="T87">
        <f>D87:D273/Table1[Deaths]</f>
        <v>21.767567567567568</v>
      </c>
    </row>
    <row r="88" spans="1:20" x14ac:dyDescent="0.25">
      <c r="A88" t="s">
        <v>82</v>
      </c>
      <c r="B88">
        <v>7398</v>
      </c>
      <c r="C88">
        <v>329</v>
      </c>
      <c r="D88">
        <v>6920</v>
      </c>
      <c r="E88">
        <v>149</v>
      </c>
      <c r="F88">
        <v>5</v>
      </c>
      <c r="G88">
        <v>0</v>
      </c>
      <c r="H88">
        <v>0</v>
      </c>
      <c r="I88">
        <v>4.45</v>
      </c>
      <c r="J88">
        <v>93.54</v>
      </c>
      <c r="K88">
        <v>4.75</v>
      </c>
      <c r="L88">
        <v>7340</v>
      </c>
      <c r="M88">
        <v>58</v>
      </c>
      <c r="N88">
        <v>0.79</v>
      </c>
      <c r="O88" t="s">
        <v>18</v>
      </c>
      <c r="P88">
        <f>Table1[Active]/Table1[Confirmed]*100</f>
        <v>2.0140578534739122</v>
      </c>
      <c r="Q88">
        <f>Table1[New_cases]/Table1[Confirmed_last_week]*100</f>
        <v>6.811989100817438E-2</v>
      </c>
      <c r="R88">
        <f>Table1[Confirmed]-Table1[Recovered]</f>
        <v>478</v>
      </c>
      <c r="S88">
        <f>Table1[Deaths]/Table1[Confirmed]*100</f>
        <v>4.4471478778048121</v>
      </c>
      <c r="T88">
        <f>D88:D274/Table1[Deaths]</f>
        <v>21.033434650455927</v>
      </c>
    </row>
    <row r="89" spans="1:20" x14ac:dyDescent="0.25">
      <c r="A89" t="s">
        <v>96</v>
      </c>
      <c r="B89">
        <v>7340</v>
      </c>
      <c r="C89">
        <v>158</v>
      </c>
      <c r="D89">
        <v>4365</v>
      </c>
      <c r="E89">
        <v>2817</v>
      </c>
      <c r="F89">
        <v>25</v>
      </c>
      <c r="G89">
        <v>1</v>
      </c>
      <c r="H89">
        <v>0</v>
      </c>
      <c r="I89">
        <v>2.15</v>
      </c>
      <c r="J89">
        <v>59.47</v>
      </c>
      <c r="K89">
        <v>3.62</v>
      </c>
      <c r="L89">
        <v>7053</v>
      </c>
      <c r="M89">
        <v>287</v>
      </c>
      <c r="N89">
        <v>4.07</v>
      </c>
      <c r="O89" t="s">
        <v>24</v>
      </c>
      <c r="P89">
        <f>Table1[Active]/Table1[Confirmed]*100</f>
        <v>38.378746594005449</v>
      </c>
      <c r="Q89">
        <f>Table1[New_cases]/Table1[Confirmed_last_week]*100</f>
        <v>0.3544590954203885</v>
      </c>
      <c r="R89">
        <f>Table1[Confirmed]-Table1[Recovered]</f>
        <v>2975</v>
      </c>
      <c r="S89">
        <f>Table1[Deaths]/Table1[Confirmed]*100</f>
        <v>2.1525885558583107</v>
      </c>
      <c r="T89">
        <f>D89:D275/Table1[Deaths]</f>
        <v>27.626582278481013</v>
      </c>
    </row>
    <row r="90" spans="1:20" x14ac:dyDescent="0.25">
      <c r="A90" t="s">
        <v>187</v>
      </c>
      <c r="B90">
        <v>7235</v>
      </c>
      <c r="C90">
        <v>60</v>
      </c>
      <c r="D90">
        <v>6028</v>
      </c>
      <c r="E90">
        <v>1147</v>
      </c>
      <c r="F90">
        <v>43</v>
      </c>
      <c r="G90">
        <v>1</v>
      </c>
      <c r="H90">
        <v>58</v>
      </c>
      <c r="I90">
        <v>0.83</v>
      </c>
      <c r="J90">
        <v>83.32</v>
      </c>
      <c r="K90">
        <v>1</v>
      </c>
      <c r="L90">
        <v>6921</v>
      </c>
      <c r="M90">
        <v>314</v>
      </c>
      <c r="N90">
        <v>4.54</v>
      </c>
      <c r="O90" t="s">
        <v>18</v>
      </c>
      <c r="P90">
        <f>Table1[Active]/Table1[Confirmed]*100</f>
        <v>15.853489979267449</v>
      </c>
      <c r="Q90">
        <f>Table1[New_cases]/Table1[Confirmed_last_week]*100</f>
        <v>0.62129750036121945</v>
      </c>
      <c r="R90">
        <f>Table1[Confirmed]-Table1[Recovered]</f>
        <v>1207</v>
      </c>
      <c r="S90">
        <f>Table1[Deaths]/Table1[Confirmed]*100</f>
        <v>0.82930200414651001</v>
      </c>
      <c r="T90">
        <f>D90:D276/Table1[Deaths]</f>
        <v>100.46666666666667</v>
      </c>
    </row>
    <row r="91" spans="1:20" x14ac:dyDescent="0.25">
      <c r="A91" t="s">
        <v>84</v>
      </c>
      <c r="B91">
        <v>7189</v>
      </c>
      <c r="C91">
        <v>49</v>
      </c>
      <c r="D91">
        <v>4682</v>
      </c>
      <c r="E91">
        <v>2458</v>
      </c>
      <c r="F91">
        <v>205</v>
      </c>
      <c r="G91">
        <v>0</v>
      </c>
      <c r="H91">
        <v>219</v>
      </c>
      <c r="I91">
        <v>0.68</v>
      </c>
      <c r="J91">
        <v>65.13</v>
      </c>
      <c r="K91">
        <v>1.05</v>
      </c>
      <c r="L91">
        <v>6433</v>
      </c>
      <c r="M91">
        <v>756</v>
      </c>
      <c r="N91">
        <v>11.75</v>
      </c>
      <c r="O91" t="s">
        <v>20</v>
      </c>
      <c r="P91">
        <f>Table1[Active]/Table1[Confirmed]*100</f>
        <v>34.191125330365836</v>
      </c>
      <c r="Q91">
        <f>Table1[New_cases]/Table1[Confirmed_last_week]*100</f>
        <v>3.1866936110679314</v>
      </c>
      <c r="R91">
        <f>Table1[Confirmed]-Table1[Recovered]</f>
        <v>2507</v>
      </c>
      <c r="S91">
        <f>Table1[Deaths]/Table1[Confirmed]*100</f>
        <v>0.6815968841285297</v>
      </c>
      <c r="T91">
        <f>D91:D277/Table1[Deaths]</f>
        <v>95.551020408163268</v>
      </c>
    </row>
    <row r="92" spans="1:20" x14ac:dyDescent="0.25">
      <c r="A92" t="s">
        <v>93</v>
      </c>
      <c r="B92">
        <v>7055</v>
      </c>
      <c r="C92">
        <v>45</v>
      </c>
      <c r="D92">
        <v>6257</v>
      </c>
      <c r="E92">
        <v>753</v>
      </c>
      <c r="F92">
        <v>47</v>
      </c>
      <c r="G92">
        <v>2</v>
      </c>
      <c r="H92">
        <v>105</v>
      </c>
      <c r="I92">
        <v>0.64</v>
      </c>
      <c r="J92">
        <v>88.69</v>
      </c>
      <c r="K92">
        <v>0.72</v>
      </c>
      <c r="L92">
        <v>6590</v>
      </c>
      <c r="M92">
        <v>465</v>
      </c>
      <c r="N92">
        <v>7.06</v>
      </c>
      <c r="O92" t="s">
        <v>20</v>
      </c>
      <c r="P92">
        <f>Table1[Active]/Table1[Confirmed]*100</f>
        <v>10.673281360737066</v>
      </c>
      <c r="Q92">
        <f>Table1[New_cases]/Table1[Confirmed_last_week]*100</f>
        <v>0.71320182094081941</v>
      </c>
      <c r="R92">
        <f>Table1[Confirmed]-Table1[Recovered]</f>
        <v>798</v>
      </c>
      <c r="S92">
        <f>Table1[Deaths]/Table1[Confirmed]*100</f>
        <v>0.6378454996456413</v>
      </c>
      <c r="T92">
        <f>D92:D278/Table1[Deaths]</f>
        <v>139.04444444444445</v>
      </c>
    </row>
    <row r="93" spans="1:20" x14ac:dyDescent="0.25">
      <c r="A93" t="s">
        <v>124</v>
      </c>
      <c r="B93">
        <v>6321</v>
      </c>
      <c r="C93">
        <v>112</v>
      </c>
      <c r="D93">
        <v>4825</v>
      </c>
      <c r="E93">
        <v>1384</v>
      </c>
      <c r="F93">
        <v>49</v>
      </c>
      <c r="G93">
        <v>0</v>
      </c>
      <c r="H93">
        <v>178</v>
      </c>
      <c r="I93">
        <v>1.77</v>
      </c>
      <c r="J93">
        <v>76.33</v>
      </c>
      <c r="K93">
        <v>2.3199999999999998</v>
      </c>
      <c r="L93">
        <v>5639</v>
      </c>
      <c r="M93">
        <v>682</v>
      </c>
      <c r="N93">
        <v>12.09</v>
      </c>
      <c r="O93" t="s">
        <v>18</v>
      </c>
      <c r="P93">
        <f>Table1[Active]/Table1[Confirmed]*100</f>
        <v>21.8952697358013</v>
      </c>
      <c r="Q93">
        <f>Table1[New_cases]/Table1[Confirmed_last_week]*100</f>
        <v>0.86894839510551514</v>
      </c>
      <c r="R93">
        <f>Table1[Confirmed]-Table1[Recovered]</f>
        <v>1496</v>
      </c>
      <c r="S93">
        <f>Table1[Deaths]/Table1[Confirmed]*100</f>
        <v>1.7718715393133997</v>
      </c>
      <c r="T93">
        <f>D93:D279/Table1[Deaths]</f>
        <v>43.080357142857146</v>
      </c>
    </row>
    <row r="94" spans="1:20" x14ac:dyDescent="0.25">
      <c r="A94" t="s">
        <v>131</v>
      </c>
      <c r="B94">
        <v>6208</v>
      </c>
      <c r="C94">
        <v>156</v>
      </c>
      <c r="D94">
        <v>4653</v>
      </c>
      <c r="E94">
        <v>1399</v>
      </c>
      <c r="F94">
        <v>37</v>
      </c>
      <c r="G94">
        <v>0</v>
      </c>
      <c r="H94">
        <v>223</v>
      </c>
      <c r="I94">
        <v>2.5099999999999998</v>
      </c>
      <c r="J94">
        <v>74.95</v>
      </c>
      <c r="K94">
        <v>3.35</v>
      </c>
      <c r="L94">
        <v>5923</v>
      </c>
      <c r="M94">
        <v>285</v>
      </c>
      <c r="N94">
        <v>4.8099999999999996</v>
      </c>
      <c r="O94" t="s">
        <v>20</v>
      </c>
      <c r="P94">
        <f>Table1[Active]/Table1[Confirmed]*100</f>
        <v>22.535438144329898</v>
      </c>
      <c r="Q94">
        <f>Table1[New_cases]/Table1[Confirmed_last_week]*100</f>
        <v>0.62468343744723953</v>
      </c>
      <c r="R94">
        <f>Table1[Confirmed]-Table1[Recovered]</f>
        <v>1555</v>
      </c>
      <c r="S94">
        <f>Table1[Deaths]/Table1[Confirmed]*100</f>
        <v>2.5128865979381443</v>
      </c>
      <c r="T94">
        <f>D94:D280/Table1[Deaths]</f>
        <v>29.826923076923077</v>
      </c>
    </row>
    <row r="95" spans="1:20" x14ac:dyDescent="0.25">
      <c r="A95" t="s">
        <v>70</v>
      </c>
      <c r="B95">
        <v>5059</v>
      </c>
      <c r="C95">
        <v>58</v>
      </c>
      <c r="D95">
        <v>4977</v>
      </c>
      <c r="E95">
        <v>24</v>
      </c>
      <c r="F95">
        <v>9</v>
      </c>
      <c r="G95">
        <v>0</v>
      </c>
      <c r="H95">
        <v>11</v>
      </c>
      <c r="I95">
        <v>1.1499999999999999</v>
      </c>
      <c r="J95">
        <v>98.38</v>
      </c>
      <c r="K95">
        <v>1.17</v>
      </c>
      <c r="L95">
        <v>5020</v>
      </c>
      <c r="M95">
        <v>39</v>
      </c>
      <c r="N95">
        <v>0.78</v>
      </c>
      <c r="O95" t="s">
        <v>16</v>
      </c>
      <c r="P95">
        <f>Table1[Active]/Table1[Confirmed]*100</f>
        <v>0.47440205574224154</v>
      </c>
      <c r="Q95">
        <f>Table1[New_cases]/Table1[Confirmed_last_week]*100</f>
        <v>0.17928286852589642</v>
      </c>
      <c r="R95">
        <f>Table1[Confirmed]-Table1[Recovered]</f>
        <v>82</v>
      </c>
      <c r="S95">
        <f>Table1[Deaths]/Table1[Confirmed]*100</f>
        <v>1.1464716347104171</v>
      </c>
      <c r="T95">
        <f>D95:D281/Table1[Deaths]</f>
        <v>85.810344827586206</v>
      </c>
    </row>
    <row r="96" spans="1:20" x14ac:dyDescent="0.25">
      <c r="A96" t="s">
        <v>65</v>
      </c>
      <c r="B96">
        <v>4881</v>
      </c>
      <c r="C96">
        <v>139</v>
      </c>
      <c r="D96">
        <v>3936</v>
      </c>
      <c r="E96">
        <v>806</v>
      </c>
      <c r="F96">
        <v>24</v>
      </c>
      <c r="G96">
        <v>3</v>
      </c>
      <c r="H96">
        <v>70</v>
      </c>
      <c r="I96">
        <v>2.85</v>
      </c>
      <c r="J96">
        <v>80.64</v>
      </c>
      <c r="K96">
        <v>3.53</v>
      </c>
      <c r="L96">
        <v>4370</v>
      </c>
      <c r="M96">
        <v>511</v>
      </c>
      <c r="N96">
        <v>11.69</v>
      </c>
      <c r="O96" t="s">
        <v>18</v>
      </c>
      <c r="P96">
        <f>Table1[Active]/Table1[Confirmed]*100</f>
        <v>16.513009629174348</v>
      </c>
      <c r="Q96">
        <f>Table1[New_cases]/Table1[Confirmed_last_week]*100</f>
        <v>0.54919908466819223</v>
      </c>
      <c r="R96">
        <f>Table1[Confirmed]-Table1[Recovered]</f>
        <v>945</v>
      </c>
      <c r="S96">
        <f>Table1[Deaths]/Table1[Confirmed]*100</f>
        <v>2.8477770948576113</v>
      </c>
      <c r="T96">
        <f>D96:D282/Table1[Deaths]</f>
        <v>28.31654676258993</v>
      </c>
    </row>
    <row r="97" spans="1:20" x14ac:dyDescent="0.25">
      <c r="A97" t="s">
        <v>17</v>
      </c>
      <c r="B97">
        <v>4880</v>
      </c>
      <c r="C97">
        <v>144</v>
      </c>
      <c r="D97">
        <v>2745</v>
      </c>
      <c r="E97">
        <v>1991</v>
      </c>
      <c r="F97">
        <v>117</v>
      </c>
      <c r="G97">
        <v>6</v>
      </c>
      <c r="H97">
        <v>63</v>
      </c>
      <c r="I97">
        <v>2.95</v>
      </c>
      <c r="J97">
        <v>56.25</v>
      </c>
      <c r="K97">
        <v>5.25</v>
      </c>
      <c r="L97">
        <v>4171</v>
      </c>
      <c r="M97">
        <v>709</v>
      </c>
      <c r="N97">
        <v>17</v>
      </c>
      <c r="O97" t="s">
        <v>18</v>
      </c>
      <c r="P97">
        <f>Table1[Active]/Table1[Confirmed]*100</f>
        <v>40.799180327868854</v>
      </c>
      <c r="Q97">
        <f>Table1[New_cases]/Table1[Confirmed_last_week]*100</f>
        <v>2.8050827139774634</v>
      </c>
      <c r="R97">
        <f>Table1[Confirmed]-Table1[Recovered]</f>
        <v>2135</v>
      </c>
      <c r="S97">
        <f>Table1[Deaths]/Table1[Confirmed]*100</f>
        <v>2.9508196721311477</v>
      </c>
      <c r="T97">
        <f>D97:D283/Table1[Deaths]</f>
        <v>19.0625</v>
      </c>
    </row>
    <row r="98" spans="1:20" x14ac:dyDescent="0.25">
      <c r="A98" t="s">
        <v>55</v>
      </c>
      <c r="B98">
        <v>4599</v>
      </c>
      <c r="C98">
        <v>59</v>
      </c>
      <c r="D98">
        <v>1546</v>
      </c>
      <c r="E98">
        <v>2994</v>
      </c>
      <c r="F98">
        <v>0</v>
      </c>
      <c r="G98">
        <v>0</v>
      </c>
      <c r="H98">
        <v>0</v>
      </c>
      <c r="I98">
        <v>1.28</v>
      </c>
      <c r="J98">
        <v>33.619999999999997</v>
      </c>
      <c r="K98">
        <v>3.82</v>
      </c>
      <c r="L98">
        <v>4548</v>
      </c>
      <c r="M98">
        <v>51</v>
      </c>
      <c r="N98">
        <v>1.1200000000000001</v>
      </c>
      <c r="O98" t="s">
        <v>20</v>
      </c>
      <c r="P98">
        <f>Table1[Active]/Table1[Confirmed]*100</f>
        <v>65.101108936725367</v>
      </c>
      <c r="Q98">
        <f>Table1[New_cases]/Table1[Confirmed_last_week]*100</f>
        <v>0</v>
      </c>
      <c r="R98">
        <f>Table1[Confirmed]-Table1[Recovered]</f>
        <v>3053</v>
      </c>
      <c r="S98">
        <f>Table1[Deaths]/Table1[Confirmed]*100</f>
        <v>1.2828875842574472</v>
      </c>
      <c r="T98">
        <f>D98:D284/Table1[Deaths]</f>
        <v>26.203389830508474</v>
      </c>
    </row>
    <row r="99" spans="1:20" x14ac:dyDescent="0.25">
      <c r="A99" t="s">
        <v>207</v>
      </c>
      <c r="B99">
        <v>4552</v>
      </c>
      <c r="C99">
        <v>140</v>
      </c>
      <c r="D99">
        <v>2815</v>
      </c>
      <c r="E99">
        <v>1597</v>
      </c>
      <c r="F99">
        <v>71</v>
      </c>
      <c r="G99">
        <v>1</v>
      </c>
      <c r="H99">
        <v>465</v>
      </c>
      <c r="I99">
        <v>3.08</v>
      </c>
      <c r="J99">
        <v>61.84</v>
      </c>
      <c r="K99">
        <v>4.97</v>
      </c>
      <c r="L99">
        <v>3326</v>
      </c>
      <c r="M99">
        <v>1226</v>
      </c>
      <c r="N99">
        <v>36.86</v>
      </c>
      <c r="O99" t="s">
        <v>20</v>
      </c>
      <c r="P99">
        <f>Table1[Active]/Table1[Confirmed]*100</f>
        <v>35.083479789103691</v>
      </c>
      <c r="Q99">
        <f>Table1[New_cases]/Table1[Confirmed_last_week]*100</f>
        <v>2.1346963319302468</v>
      </c>
      <c r="R99">
        <f>Table1[Confirmed]-Table1[Recovered]</f>
        <v>1737</v>
      </c>
      <c r="S99">
        <f>Table1[Deaths]/Table1[Confirmed]*100</f>
        <v>3.0755711775043935</v>
      </c>
      <c r="T99">
        <f>D99:D285/Table1[Deaths]</f>
        <v>20.107142857142858</v>
      </c>
    </row>
    <row r="100" spans="1:20" x14ac:dyDescent="0.25">
      <c r="A100" t="s">
        <v>153</v>
      </c>
      <c r="B100">
        <v>4548</v>
      </c>
      <c r="C100">
        <v>43</v>
      </c>
      <c r="D100">
        <v>2905</v>
      </c>
      <c r="E100">
        <v>1600</v>
      </c>
      <c r="F100">
        <v>104</v>
      </c>
      <c r="G100">
        <v>2</v>
      </c>
      <c r="H100">
        <v>111</v>
      </c>
      <c r="I100">
        <v>0.95</v>
      </c>
      <c r="J100">
        <v>63.87</v>
      </c>
      <c r="K100">
        <v>1.48</v>
      </c>
      <c r="L100">
        <v>3748</v>
      </c>
      <c r="M100">
        <v>800</v>
      </c>
      <c r="N100">
        <v>21.34</v>
      </c>
      <c r="O100" t="s">
        <v>24</v>
      </c>
      <c r="P100">
        <f>Table1[Active]/Table1[Confirmed]*100</f>
        <v>35.180299032541775</v>
      </c>
      <c r="Q100">
        <f>Table1[New_cases]/Table1[Confirmed_last_week]*100</f>
        <v>2.7748132337246529</v>
      </c>
      <c r="R100">
        <f>Table1[Confirmed]-Table1[Recovered]</f>
        <v>1643</v>
      </c>
      <c r="S100">
        <f>Table1[Deaths]/Table1[Confirmed]*100</f>
        <v>0.94547053649956025</v>
      </c>
      <c r="T100">
        <f>D100:D286/Table1[Deaths]</f>
        <v>67.558139534883722</v>
      </c>
    </row>
    <row r="101" spans="1:20" x14ac:dyDescent="0.25">
      <c r="A101" t="s">
        <v>99</v>
      </c>
      <c r="B101">
        <v>4448</v>
      </c>
      <c r="C101">
        <v>596</v>
      </c>
      <c r="D101">
        <v>3329</v>
      </c>
      <c r="E101">
        <v>523</v>
      </c>
      <c r="F101">
        <v>13</v>
      </c>
      <c r="G101">
        <v>0</v>
      </c>
      <c r="H101">
        <v>0</v>
      </c>
      <c r="I101">
        <v>13.4</v>
      </c>
      <c r="J101">
        <v>74.84</v>
      </c>
      <c r="K101">
        <v>17.899999999999999</v>
      </c>
      <c r="L101">
        <v>4339</v>
      </c>
      <c r="M101">
        <v>109</v>
      </c>
      <c r="N101">
        <v>2.5099999999999998</v>
      </c>
      <c r="O101" t="s">
        <v>18</v>
      </c>
      <c r="P101">
        <f>Table1[Active]/Table1[Confirmed]*100</f>
        <v>11.758093525179856</v>
      </c>
      <c r="Q101">
        <f>Table1[New_cases]/Table1[Confirmed_last_week]*100</f>
        <v>0.29960820465545057</v>
      </c>
      <c r="R101">
        <f>Table1[Confirmed]-Table1[Recovered]</f>
        <v>1119</v>
      </c>
      <c r="S101">
        <f>Table1[Deaths]/Table1[Confirmed]*100</f>
        <v>13.399280575539569</v>
      </c>
      <c r="T101">
        <f>D101:D287/Table1[Deaths]</f>
        <v>5.5855704697986575</v>
      </c>
    </row>
    <row r="102" spans="1:20" x14ac:dyDescent="0.25">
      <c r="A102" t="s">
        <v>89</v>
      </c>
      <c r="B102">
        <v>4227</v>
      </c>
      <c r="C102">
        <v>202</v>
      </c>
      <c r="D102">
        <v>1374</v>
      </c>
      <c r="E102">
        <v>2651</v>
      </c>
      <c r="F102">
        <v>34</v>
      </c>
      <c r="G102">
        <v>0</v>
      </c>
      <c r="H102">
        <v>0</v>
      </c>
      <c r="I102">
        <v>4.78</v>
      </c>
      <c r="J102">
        <v>32.51</v>
      </c>
      <c r="K102">
        <v>14.7</v>
      </c>
      <c r="L102">
        <v>4012</v>
      </c>
      <c r="M102">
        <v>215</v>
      </c>
      <c r="N102">
        <v>5.36</v>
      </c>
      <c r="O102" t="s">
        <v>18</v>
      </c>
      <c r="P102">
        <f>Table1[Active]/Table1[Confirmed]*100</f>
        <v>62.715874142417796</v>
      </c>
      <c r="Q102">
        <f>Table1[New_cases]/Table1[Confirmed_last_week]*100</f>
        <v>0.84745762711864403</v>
      </c>
      <c r="R102">
        <f>Table1[Confirmed]-Table1[Recovered]</f>
        <v>2853</v>
      </c>
      <c r="S102">
        <f>Table1[Deaths]/Table1[Confirmed]*100</f>
        <v>4.7788029335225923</v>
      </c>
      <c r="T102">
        <f>D102:D288/Table1[Deaths]</f>
        <v>6.8019801980198018</v>
      </c>
    </row>
    <row r="103" spans="1:20" x14ac:dyDescent="0.25">
      <c r="A103" t="s">
        <v>118</v>
      </c>
      <c r="B103">
        <v>3882</v>
      </c>
      <c r="C103">
        <v>51</v>
      </c>
      <c r="D103">
        <v>1709</v>
      </c>
      <c r="E103">
        <v>2122</v>
      </c>
      <c r="F103">
        <v>132</v>
      </c>
      <c r="G103">
        <v>0</v>
      </c>
      <c r="H103">
        <v>17</v>
      </c>
      <c r="I103">
        <v>1.31</v>
      </c>
      <c r="J103">
        <v>44.02</v>
      </c>
      <c r="K103">
        <v>2.98</v>
      </c>
      <c r="L103">
        <v>2905</v>
      </c>
      <c r="M103">
        <v>977</v>
      </c>
      <c r="N103">
        <v>33.630000000000003</v>
      </c>
      <c r="O103" t="s">
        <v>16</v>
      </c>
      <c r="P103">
        <f>Table1[Active]/Table1[Confirmed]*100</f>
        <v>54.66254507985574</v>
      </c>
      <c r="Q103">
        <f>Table1[New_cases]/Table1[Confirmed_last_week]*100</f>
        <v>4.5438898450946645</v>
      </c>
      <c r="R103">
        <f>Table1[Confirmed]-Table1[Recovered]</f>
        <v>2173</v>
      </c>
      <c r="S103">
        <f>Table1[Deaths]/Table1[Confirmed]*100</f>
        <v>1.313755795981453</v>
      </c>
      <c r="T103">
        <f>D103:D289/Table1[Deaths]</f>
        <v>33.509803921568626</v>
      </c>
    </row>
    <row r="104" spans="1:20" x14ac:dyDescent="0.25">
      <c r="A104" t="s">
        <v>126</v>
      </c>
      <c r="B104">
        <v>3664</v>
      </c>
      <c r="C104">
        <v>99</v>
      </c>
      <c r="D104">
        <v>1645</v>
      </c>
      <c r="E104">
        <v>1920</v>
      </c>
      <c r="F104">
        <v>24</v>
      </c>
      <c r="G104">
        <v>0</v>
      </c>
      <c r="H104">
        <v>6</v>
      </c>
      <c r="I104">
        <v>2.7</v>
      </c>
      <c r="J104">
        <v>44.9</v>
      </c>
      <c r="K104">
        <v>6.02</v>
      </c>
      <c r="L104">
        <v>2992</v>
      </c>
      <c r="M104">
        <v>672</v>
      </c>
      <c r="N104">
        <v>22.46</v>
      </c>
      <c r="O104" t="s">
        <v>20</v>
      </c>
      <c r="P104">
        <f>Table1[Active]/Table1[Confirmed]*100</f>
        <v>52.401746724890828</v>
      </c>
      <c r="Q104">
        <f>Table1[New_cases]/Table1[Confirmed_last_week]*100</f>
        <v>0.80213903743315518</v>
      </c>
      <c r="R104">
        <f>Table1[Confirmed]-Table1[Recovered]</f>
        <v>2019</v>
      </c>
      <c r="S104">
        <f>Table1[Deaths]/Table1[Confirmed]*100</f>
        <v>2.7019650655021836</v>
      </c>
      <c r="T104">
        <f>D104:D290/Table1[Deaths]</f>
        <v>16.616161616161616</v>
      </c>
    </row>
    <row r="105" spans="1:20" x14ac:dyDescent="0.25">
      <c r="A105" t="s">
        <v>144</v>
      </c>
      <c r="B105">
        <v>3439</v>
      </c>
      <c r="C105">
        <v>108</v>
      </c>
      <c r="D105">
        <v>2492</v>
      </c>
      <c r="E105">
        <v>839</v>
      </c>
      <c r="F105">
        <v>0</v>
      </c>
      <c r="G105">
        <v>0</v>
      </c>
      <c r="H105">
        <v>0</v>
      </c>
      <c r="I105">
        <v>3.14</v>
      </c>
      <c r="J105">
        <v>72.459999999999994</v>
      </c>
      <c r="K105">
        <v>4.33</v>
      </c>
      <c r="L105">
        <v>3147</v>
      </c>
      <c r="M105">
        <v>292</v>
      </c>
      <c r="N105">
        <v>9.2799999999999994</v>
      </c>
      <c r="O105" t="s">
        <v>24</v>
      </c>
      <c r="P105">
        <f>Table1[Active]/Table1[Confirmed]*100</f>
        <v>24.396626926432102</v>
      </c>
      <c r="Q105">
        <f>Table1[New_cases]/Table1[Confirmed_last_week]*100</f>
        <v>0</v>
      </c>
      <c r="R105">
        <f>Table1[Confirmed]-Table1[Recovered]</f>
        <v>947</v>
      </c>
      <c r="S105">
        <f>Table1[Deaths]/Table1[Confirmed]*100</f>
        <v>3.1404478045943587</v>
      </c>
      <c r="T105">
        <f>D105:D291/Table1[Deaths]</f>
        <v>23.074074074074073</v>
      </c>
    </row>
    <row r="106" spans="1:20" x14ac:dyDescent="0.25">
      <c r="A106" t="s">
        <v>128</v>
      </c>
      <c r="B106">
        <v>3369</v>
      </c>
      <c r="C106">
        <v>15</v>
      </c>
      <c r="D106">
        <v>2547</v>
      </c>
      <c r="E106">
        <v>807</v>
      </c>
      <c r="F106">
        <v>67</v>
      </c>
      <c r="G106">
        <v>0</v>
      </c>
      <c r="H106">
        <v>19</v>
      </c>
      <c r="I106">
        <v>0.45</v>
      </c>
      <c r="J106">
        <v>75.599999999999994</v>
      </c>
      <c r="K106">
        <v>0.59</v>
      </c>
      <c r="L106">
        <v>2999</v>
      </c>
      <c r="M106">
        <v>370</v>
      </c>
      <c r="N106">
        <v>12.34</v>
      </c>
      <c r="O106" t="s">
        <v>34</v>
      </c>
      <c r="P106">
        <f>Table1[Active]/Table1[Confirmed]*100</f>
        <v>23.953695458593057</v>
      </c>
      <c r="Q106">
        <f>Table1[New_cases]/Table1[Confirmed_last_week]*100</f>
        <v>2.2340780260086697</v>
      </c>
      <c r="R106">
        <f>Table1[Confirmed]-Table1[Recovered]</f>
        <v>822</v>
      </c>
      <c r="S106">
        <f>Table1[Deaths]/Table1[Confirmed]*100</f>
        <v>0.44523597506678536</v>
      </c>
      <c r="T106">
        <f>D106:D292/Table1[Deaths]</f>
        <v>169.8</v>
      </c>
    </row>
    <row r="107" spans="1:20" x14ac:dyDescent="0.25">
      <c r="A107" t="s">
        <v>189</v>
      </c>
      <c r="B107">
        <v>3297</v>
      </c>
      <c r="C107">
        <v>58</v>
      </c>
      <c r="D107">
        <v>3111</v>
      </c>
      <c r="E107">
        <v>128</v>
      </c>
      <c r="F107">
        <v>6</v>
      </c>
      <c r="G107">
        <v>0</v>
      </c>
      <c r="H107">
        <v>2</v>
      </c>
      <c r="I107">
        <v>1.76</v>
      </c>
      <c r="J107">
        <v>94.36</v>
      </c>
      <c r="K107">
        <v>1.86</v>
      </c>
      <c r="L107">
        <v>3250</v>
      </c>
      <c r="M107">
        <v>47</v>
      </c>
      <c r="N107">
        <v>1.45</v>
      </c>
      <c r="O107" t="s">
        <v>34</v>
      </c>
      <c r="P107">
        <f>Table1[Active]/Table1[Confirmed]*100</f>
        <v>3.8823172581134364</v>
      </c>
      <c r="Q107">
        <f>Table1[New_cases]/Table1[Confirmed_last_week]*100</f>
        <v>0.1846153846153846</v>
      </c>
      <c r="R107">
        <f>Table1[Confirmed]-Table1[Recovered]</f>
        <v>186</v>
      </c>
      <c r="S107">
        <f>Table1[Deaths]/Table1[Confirmed]*100</f>
        <v>1.7591750075826509</v>
      </c>
      <c r="T107">
        <f>D107:D293/Table1[Deaths]</f>
        <v>53.637931034482762</v>
      </c>
    </row>
    <row r="108" spans="1:20" x14ac:dyDescent="0.25">
      <c r="A108" t="s">
        <v>61</v>
      </c>
      <c r="B108">
        <v>3200</v>
      </c>
      <c r="C108">
        <v>54</v>
      </c>
      <c r="D108">
        <v>829</v>
      </c>
      <c r="E108">
        <v>2317</v>
      </c>
      <c r="F108">
        <v>162</v>
      </c>
      <c r="G108">
        <v>3</v>
      </c>
      <c r="H108">
        <v>73</v>
      </c>
      <c r="I108">
        <v>1.69</v>
      </c>
      <c r="J108">
        <v>25.91</v>
      </c>
      <c r="K108">
        <v>6.51</v>
      </c>
      <c r="L108">
        <v>2851</v>
      </c>
      <c r="M108">
        <v>349</v>
      </c>
      <c r="N108">
        <v>12.24</v>
      </c>
      <c r="O108" t="s">
        <v>20</v>
      </c>
      <c r="P108">
        <f>Table1[Active]/Table1[Confirmed]*100</f>
        <v>72.40625</v>
      </c>
      <c r="Q108">
        <f>Table1[New_cases]/Table1[Confirmed_last_week]*100</f>
        <v>5.6822167660470013</v>
      </c>
      <c r="R108">
        <f>Table1[Confirmed]-Table1[Recovered]</f>
        <v>2371</v>
      </c>
      <c r="S108">
        <f>Table1[Deaths]/Table1[Confirmed]*100</f>
        <v>1.6875</v>
      </c>
      <c r="T108">
        <f>D108:D294/Table1[Deaths]</f>
        <v>15.351851851851851</v>
      </c>
    </row>
    <row r="109" spans="1:20" x14ac:dyDescent="0.25">
      <c r="A109" t="s">
        <v>175</v>
      </c>
      <c r="B109">
        <v>3196</v>
      </c>
      <c r="C109">
        <v>93</v>
      </c>
      <c r="D109">
        <v>1543</v>
      </c>
      <c r="E109">
        <v>1560</v>
      </c>
      <c r="F109">
        <v>18</v>
      </c>
      <c r="G109">
        <v>0</v>
      </c>
      <c r="H109">
        <v>22</v>
      </c>
      <c r="I109">
        <v>2.91</v>
      </c>
      <c r="J109">
        <v>48.28</v>
      </c>
      <c r="K109">
        <v>6.03</v>
      </c>
      <c r="L109">
        <v>3130</v>
      </c>
      <c r="M109">
        <v>66</v>
      </c>
      <c r="N109">
        <v>2.11</v>
      </c>
      <c r="O109" t="s">
        <v>16</v>
      </c>
      <c r="P109">
        <f>Table1[Active]/Table1[Confirmed]*100</f>
        <v>48.811013767209012</v>
      </c>
      <c r="Q109">
        <f>Table1[New_cases]/Table1[Confirmed_last_week]*100</f>
        <v>0.57507987220447288</v>
      </c>
      <c r="R109">
        <f>Table1[Confirmed]-Table1[Recovered]</f>
        <v>1653</v>
      </c>
      <c r="S109">
        <f>Table1[Deaths]/Table1[Confirmed]*100</f>
        <v>2.9098873591989989</v>
      </c>
      <c r="T109">
        <f>D109:D295/Table1[Deaths]</f>
        <v>16.591397849462364</v>
      </c>
    </row>
    <row r="110" spans="1:20" x14ac:dyDescent="0.25">
      <c r="A110" t="s">
        <v>76</v>
      </c>
      <c r="B110">
        <v>3071</v>
      </c>
      <c r="C110">
        <v>51</v>
      </c>
      <c r="D110">
        <v>842</v>
      </c>
      <c r="E110">
        <v>2178</v>
      </c>
      <c r="F110">
        <v>0</v>
      </c>
      <c r="G110">
        <v>0</v>
      </c>
      <c r="H110">
        <v>0</v>
      </c>
      <c r="I110">
        <v>1.66</v>
      </c>
      <c r="J110">
        <v>27.42</v>
      </c>
      <c r="K110">
        <v>6.06</v>
      </c>
      <c r="L110">
        <v>3071</v>
      </c>
      <c r="M110">
        <v>0</v>
      </c>
      <c r="N110">
        <v>0</v>
      </c>
      <c r="O110" t="s">
        <v>20</v>
      </c>
      <c r="P110">
        <f>Table1[Active]/Table1[Confirmed]*100</f>
        <v>70.921523933572132</v>
      </c>
      <c r="Q110">
        <f>Table1[New_cases]/Table1[Confirmed_last_week]*100</f>
        <v>0</v>
      </c>
      <c r="R110">
        <f>Table1[Confirmed]-Table1[Recovered]</f>
        <v>2229</v>
      </c>
      <c r="S110">
        <f>Table1[Deaths]/Table1[Confirmed]*100</f>
        <v>1.6606968414197329</v>
      </c>
      <c r="T110">
        <f>D110:D296/Table1[Deaths]</f>
        <v>16.509803921568629</v>
      </c>
    </row>
    <row r="111" spans="1:20" x14ac:dyDescent="0.25">
      <c r="A111" t="s">
        <v>137</v>
      </c>
      <c r="B111">
        <v>2893</v>
      </c>
      <c r="C111">
        <v>45</v>
      </c>
      <c r="D111">
        <v>809</v>
      </c>
      <c r="E111">
        <v>2039</v>
      </c>
      <c r="F111">
        <v>94</v>
      </c>
      <c r="G111">
        <v>2</v>
      </c>
      <c r="H111">
        <v>70</v>
      </c>
      <c r="I111">
        <v>1.56</v>
      </c>
      <c r="J111">
        <v>27.96</v>
      </c>
      <c r="K111">
        <v>5.56</v>
      </c>
      <c r="L111">
        <v>2188</v>
      </c>
      <c r="M111">
        <v>705</v>
      </c>
      <c r="N111">
        <v>32.22</v>
      </c>
      <c r="O111" t="s">
        <v>18</v>
      </c>
      <c r="P111">
        <f>Table1[Active]/Table1[Confirmed]*100</f>
        <v>70.480470100241959</v>
      </c>
      <c r="Q111">
        <f>Table1[New_cases]/Table1[Confirmed_last_week]*100</f>
        <v>4.296160877513711</v>
      </c>
      <c r="R111">
        <f>Table1[Confirmed]-Table1[Recovered]</f>
        <v>2084</v>
      </c>
      <c r="S111">
        <f>Table1[Deaths]/Table1[Confirmed]*100</f>
        <v>1.5554787417905289</v>
      </c>
      <c r="T111">
        <f>D111:D297/Table1[Deaths]</f>
        <v>17.977777777777778</v>
      </c>
    </row>
    <row r="112" spans="1:20" x14ac:dyDescent="0.25">
      <c r="A112" t="s">
        <v>121</v>
      </c>
      <c r="B112">
        <v>2827</v>
      </c>
      <c r="C112">
        <v>64</v>
      </c>
      <c r="D112">
        <v>577</v>
      </c>
      <c r="E112">
        <v>2186</v>
      </c>
      <c r="F112">
        <v>158</v>
      </c>
      <c r="G112">
        <v>4</v>
      </c>
      <c r="H112">
        <v>24</v>
      </c>
      <c r="I112">
        <v>2.2599999999999998</v>
      </c>
      <c r="J112">
        <v>20.41</v>
      </c>
      <c r="K112">
        <v>11.09</v>
      </c>
      <c r="L112">
        <v>1980</v>
      </c>
      <c r="M112">
        <v>847</v>
      </c>
      <c r="N112">
        <v>42.78</v>
      </c>
      <c r="O112" t="s">
        <v>16</v>
      </c>
      <c r="P112">
        <f>Table1[Active]/Table1[Confirmed]*100</f>
        <v>77.325787053413507</v>
      </c>
      <c r="Q112">
        <f>Table1[New_cases]/Table1[Confirmed_last_week]*100</f>
        <v>7.9797979797979801</v>
      </c>
      <c r="R112">
        <f>Table1[Confirmed]-Table1[Recovered]</f>
        <v>2250</v>
      </c>
      <c r="S112">
        <f>Table1[Deaths]/Table1[Confirmed]*100</f>
        <v>2.2638839759462326</v>
      </c>
      <c r="T112">
        <f>D112:D298/Table1[Deaths]</f>
        <v>9.015625</v>
      </c>
    </row>
    <row r="113" spans="1:20" x14ac:dyDescent="0.25">
      <c r="A113" t="s">
        <v>180</v>
      </c>
      <c r="B113">
        <v>2805</v>
      </c>
      <c r="C113">
        <v>11</v>
      </c>
      <c r="D113">
        <v>2121</v>
      </c>
      <c r="E113">
        <v>673</v>
      </c>
      <c r="F113">
        <v>23</v>
      </c>
      <c r="G113">
        <v>0</v>
      </c>
      <c r="H113">
        <v>15</v>
      </c>
      <c r="I113">
        <v>0.39</v>
      </c>
      <c r="J113">
        <v>75.61</v>
      </c>
      <c r="K113">
        <v>0.52</v>
      </c>
      <c r="L113">
        <v>2730</v>
      </c>
      <c r="M113">
        <v>75</v>
      </c>
      <c r="N113">
        <v>2.75</v>
      </c>
      <c r="O113" t="s">
        <v>34</v>
      </c>
      <c r="P113">
        <f>Table1[Active]/Table1[Confirmed]*100</f>
        <v>23.992869875222816</v>
      </c>
      <c r="Q113">
        <f>Table1[New_cases]/Table1[Confirmed_last_week]*100</f>
        <v>0.8424908424908425</v>
      </c>
      <c r="R113">
        <f>Table1[Confirmed]-Table1[Recovered]</f>
        <v>684</v>
      </c>
      <c r="S113">
        <f>Table1[Deaths]/Table1[Confirmed]*100</f>
        <v>0.39215686274509803</v>
      </c>
      <c r="T113">
        <f>D113:D299/Table1[Deaths]</f>
        <v>192.81818181818181</v>
      </c>
    </row>
    <row r="114" spans="1:20" x14ac:dyDescent="0.25">
      <c r="A114" t="s">
        <v>208</v>
      </c>
      <c r="B114">
        <v>2704</v>
      </c>
      <c r="C114">
        <v>36</v>
      </c>
      <c r="D114">
        <v>542</v>
      </c>
      <c r="E114">
        <v>2126</v>
      </c>
      <c r="F114">
        <v>192</v>
      </c>
      <c r="G114">
        <v>2</v>
      </c>
      <c r="H114">
        <v>24</v>
      </c>
      <c r="I114">
        <v>1.33</v>
      </c>
      <c r="J114">
        <v>20.04</v>
      </c>
      <c r="K114">
        <v>6.64</v>
      </c>
      <c r="L114">
        <v>1713</v>
      </c>
      <c r="M114">
        <v>991</v>
      </c>
      <c r="N114">
        <v>57.85</v>
      </c>
      <c r="O114" t="s">
        <v>20</v>
      </c>
      <c r="P114">
        <f>Table1[Active]/Table1[Confirmed]*100</f>
        <v>78.624260355029591</v>
      </c>
      <c r="Q114">
        <f>Table1[New_cases]/Table1[Confirmed_last_week]*100</f>
        <v>11.208406304728546</v>
      </c>
      <c r="R114">
        <f>Table1[Confirmed]-Table1[Recovered]</f>
        <v>2162</v>
      </c>
      <c r="S114">
        <f>Table1[Deaths]/Table1[Confirmed]*100</f>
        <v>1.3313609467455623</v>
      </c>
      <c r="T114">
        <f>D114:D300/Table1[Deaths]</f>
        <v>15.055555555555555</v>
      </c>
    </row>
    <row r="115" spans="1:20" x14ac:dyDescent="0.25">
      <c r="A115" t="s">
        <v>66</v>
      </c>
      <c r="B115">
        <v>2532</v>
      </c>
      <c r="C115">
        <v>87</v>
      </c>
      <c r="D115">
        <v>2351</v>
      </c>
      <c r="E115">
        <v>94</v>
      </c>
      <c r="F115">
        <v>37</v>
      </c>
      <c r="G115">
        <v>0</v>
      </c>
      <c r="H115">
        <v>2</v>
      </c>
      <c r="I115">
        <v>3.44</v>
      </c>
      <c r="J115">
        <v>92.85</v>
      </c>
      <c r="K115">
        <v>3.7</v>
      </c>
      <c r="L115">
        <v>2446</v>
      </c>
      <c r="M115">
        <v>86</v>
      </c>
      <c r="N115">
        <v>3.52</v>
      </c>
      <c r="O115" t="s">
        <v>24</v>
      </c>
      <c r="P115">
        <f>Table1[Active]/Table1[Confirmed]*100</f>
        <v>3.7124802527646126</v>
      </c>
      <c r="Q115">
        <f>Table1[New_cases]/Table1[Confirmed_last_week]*100</f>
        <v>1.5126737530662304</v>
      </c>
      <c r="R115">
        <f>Table1[Confirmed]-Table1[Recovered]</f>
        <v>181</v>
      </c>
      <c r="S115">
        <f>Table1[Deaths]/Table1[Confirmed]*100</f>
        <v>3.4360189573459716</v>
      </c>
      <c r="T115">
        <f>D115:D301/Table1[Deaths]</f>
        <v>27.022988505747126</v>
      </c>
    </row>
    <row r="116" spans="1:20" x14ac:dyDescent="0.25">
      <c r="A116" t="s">
        <v>129</v>
      </c>
      <c r="B116">
        <v>2513</v>
      </c>
      <c r="C116">
        <v>124</v>
      </c>
      <c r="D116">
        <v>1913</v>
      </c>
      <c r="E116">
        <v>476</v>
      </c>
      <c r="F116">
        <v>3</v>
      </c>
      <c r="G116">
        <v>1</v>
      </c>
      <c r="H116">
        <v>2</v>
      </c>
      <c r="I116">
        <v>4.93</v>
      </c>
      <c r="J116">
        <v>76.12</v>
      </c>
      <c r="K116">
        <v>6.48</v>
      </c>
      <c r="L116">
        <v>2475</v>
      </c>
      <c r="M116">
        <v>38</v>
      </c>
      <c r="N116">
        <v>1.54</v>
      </c>
      <c r="O116" t="s">
        <v>20</v>
      </c>
      <c r="P116">
        <f>Table1[Active]/Table1[Confirmed]*100</f>
        <v>18.941504178272979</v>
      </c>
      <c r="Q116">
        <f>Table1[New_cases]/Table1[Confirmed_last_week]*100</f>
        <v>0.12121212121212122</v>
      </c>
      <c r="R116">
        <f>Table1[Confirmed]-Table1[Recovered]</f>
        <v>600</v>
      </c>
      <c r="S116">
        <f>Table1[Deaths]/Table1[Confirmed]*100</f>
        <v>4.9343414245921213</v>
      </c>
      <c r="T116">
        <f>D116:D302/Table1[Deaths]</f>
        <v>15.42741935483871</v>
      </c>
    </row>
    <row r="117" spans="1:20" x14ac:dyDescent="0.25">
      <c r="A117" t="s">
        <v>50</v>
      </c>
      <c r="B117">
        <v>2328</v>
      </c>
      <c r="C117">
        <v>22</v>
      </c>
      <c r="D117">
        <v>1550</v>
      </c>
      <c r="E117">
        <v>756</v>
      </c>
      <c r="F117">
        <v>21</v>
      </c>
      <c r="G117">
        <v>0</v>
      </c>
      <c r="H117">
        <v>103</v>
      </c>
      <c r="I117">
        <v>0.95</v>
      </c>
      <c r="J117">
        <v>66.58</v>
      </c>
      <c r="K117">
        <v>1.42</v>
      </c>
      <c r="L117">
        <v>2071</v>
      </c>
      <c r="M117">
        <v>257</v>
      </c>
      <c r="N117">
        <v>12.41</v>
      </c>
      <c r="O117" t="s">
        <v>20</v>
      </c>
      <c r="P117">
        <f>Table1[Active]/Table1[Confirmed]*100</f>
        <v>32.47422680412371</v>
      </c>
      <c r="Q117">
        <f>Table1[New_cases]/Table1[Confirmed_last_week]*100</f>
        <v>1.0140028971511348</v>
      </c>
      <c r="R117">
        <f>Table1[Confirmed]-Table1[Recovered]</f>
        <v>778</v>
      </c>
      <c r="S117">
        <f>Table1[Deaths]/Table1[Confirmed]*100</f>
        <v>0.94501718213058417</v>
      </c>
      <c r="T117">
        <f>D117:D303/Table1[Deaths]</f>
        <v>70.454545454545453</v>
      </c>
    </row>
    <row r="118" spans="1:20" x14ac:dyDescent="0.25">
      <c r="A118" t="s">
        <v>79</v>
      </c>
      <c r="B118">
        <v>2316</v>
      </c>
      <c r="C118">
        <v>34</v>
      </c>
      <c r="D118">
        <v>1025</v>
      </c>
      <c r="E118">
        <v>1257</v>
      </c>
      <c r="F118">
        <v>109</v>
      </c>
      <c r="G118">
        <v>2</v>
      </c>
      <c r="H118">
        <v>39</v>
      </c>
      <c r="I118">
        <v>1.47</v>
      </c>
      <c r="J118">
        <v>44.26</v>
      </c>
      <c r="K118">
        <v>3.32</v>
      </c>
      <c r="L118">
        <v>1826</v>
      </c>
      <c r="M118">
        <v>490</v>
      </c>
      <c r="N118">
        <v>26.83</v>
      </c>
      <c r="O118" t="s">
        <v>20</v>
      </c>
      <c r="P118">
        <f>Table1[Active]/Table1[Confirmed]*100</f>
        <v>54.274611398963735</v>
      </c>
      <c r="Q118">
        <f>Table1[New_cases]/Table1[Confirmed_last_week]*100</f>
        <v>5.9693318729463307</v>
      </c>
      <c r="R118">
        <f>Table1[Confirmed]-Table1[Recovered]</f>
        <v>1291</v>
      </c>
      <c r="S118">
        <f>Table1[Deaths]/Table1[Confirmed]*100</f>
        <v>1.468048359240069</v>
      </c>
      <c r="T118">
        <f>D118:D304/Table1[Deaths]</f>
        <v>30.147058823529413</v>
      </c>
    </row>
    <row r="119" spans="1:20" x14ac:dyDescent="0.25">
      <c r="A119" t="s">
        <v>178</v>
      </c>
      <c r="B119">
        <v>2305</v>
      </c>
      <c r="C119">
        <v>46</v>
      </c>
      <c r="D119">
        <v>1175</v>
      </c>
      <c r="E119">
        <v>1084</v>
      </c>
      <c r="F119">
        <v>43</v>
      </c>
      <c r="G119">
        <v>1</v>
      </c>
      <c r="H119">
        <v>0</v>
      </c>
      <c r="I119">
        <v>2</v>
      </c>
      <c r="J119">
        <v>50.98</v>
      </c>
      <c r="K119">
        <v>3.91</v>
      </c>
      <c r="L119">
        <v>2211</v>
      </c>
      <c r="M119">
        <v>94</v>
      </c>
      <c r="N119">
        <v>4.25</v>
      </c>
      <c r="O119" t="s">
        <v>20</v>
      </c>
      <c r="P119">
        <f>Table1[Active]/Table1[Confirmed]*100</f>
        <v>47.028199566160524</v>
      </c>
      <c r="Q119">
        <f>Table1[New_cases]/Table1[Confirmed_last_week]*100</f>
        <v>1.9448213478064227</v>
      </c>
      <c r="R119">
        <f>Table1[Confirmed]-Table1[Recovered]</f>
        <v>1130</v>
      </c>
      <c r="S119">
        <f>Table1[Deaths]/Table1[Confirmed]*100</f>
        <v>1.9956616052060738</v>
      </c>
      <c r="T119">
        <f>D119:D305/Table1[Deaths]</f>
        <v>25.543478260869566</v>
      </c>
    </row>
    <row r="120" spans="1:20" x14ac:dyDescent="0.25">
      <c r="A120" t="s">
        <v>173</v>
      </c>
      <c r="B120">
        <v>2181</v>
      </c>
      <c r="C120">
        <v>28</v>
      </c>
      <c r="D120">
        <v>1616</v>
      </c>
      <c r="E120">
        <v>537</v>
      </c>
      <c r="F120">
        <v>2</v>
      </c>
      <c r="G120">
        <v>0</v>
      </c>
      <c r="H120">
        <v>39</v>
      </c>
      <c r="I120">
        <v>1.28</v>
      </c>
      <c r="J120">
        <v>74.09</v>
      </c>
      <c r="K120">
        <v>1.73</v>
      </c>
      <c r="L120">
        <v>1980</v>
      </c>
      <c r="M120">
        <v>201</v>
      </c>
      <c r="N120">
        <v>10.15</v>
      </c>
      <c r="O120" t="s">
        <v>18</v>
      </c>
      <c r="P120">
        <f>Table1[Active]/Table1[Confirmed]*100</f>
        <v>24.621733149931224</v>
      </c>
      <c r="Q120">
        <f>Table1[New_cases]/Table1[Confirmed_last_week]*100</f>
        <v>0.10101010101010101</v>
      </c>
      <c r="R120">
        <f>Table1[Confirmed]-Table1[Recovered]</f>
        <v>565</v>
      </c>
      <c r="S120">
        <f>Table1[Deaths]/Table1[Confirmed]*100</f>
        <v>1.2838147638697845</v>
      </c>
      <c r="T120">
        <f>D120:D306/Table1[Deaths]</f>
        <v>57.714285714285715</v>
      </c>
    </row>
    <row r="121" spans="1:20" x14ac:dyDescent="0.25">
      <c r="A121" t="s">
        <v>174</v>
      </c>
      <c r="B121">
        <v>2087</v>
      </c>
      <c r="C121">
        <v>116</v>
      </c>
      <c r="D121">
        <v>1733</v>
      </c>
      <c r="E121">
        <v>238</v>
      </c>
      <c r="F121">
        <v>5</v>
      </c>
      <c r="G121">
        <v>0</v>
      </c>
      <c r="H121">
        <v>55</v>
      </c>
      <c r="I121">
        <v>5.56</v>
      </c>
      <c r="J121">
        <v>83.04</v>
      </c>
      <c r="K121">
        <v>6.69</v>
      </c>
      <c r="L121">
        <v>1953</v>
      </c>
      <c r="M121">
        <v>134</v>
      </c>
      <c r="N121">
        <v>6.86</v>
      </c>
      <c r="O121" t="s">
        <v>18</v>
      </c>
      <c r="P121">
        <f>Table1[Active]/Table1[Confirmed]*100</f>
        <v>11.403929084810734</v>
      </c>
      <c r="Q121">
        <f>Table1[New_cases]/Table1[Confirmed_last_week]*100</f>
        <v>0.2560163850486431</v>
      </c>
      <c r="R121">
        <f>Table1[Confirmed]-Table1[Recovered]</f>
        <v>354</v>
      </c>
      <c r="S121">
        <f>Table1[Deaths]/Table1[Confirmed]*100</f>
        <v>5.5582175371346434</v>
      </c>
      <c r="T121">
        <f>D121:D307/Table1[Deaths]</f>
        <v>14.939655172413794</v>
      </c>
    </row>
    <row r="122" spans="1:20" x14ac:dyDescent="0.25">
      <c r="A122" t="s">
        <v>78</v>
      </c>
      <c r="B122">
        <v>2034</v>
      </c>
      <c r="C122">
        <v>69</v>
      </c>
      <c r="D122">
        <v>1923</v>
      </c>
      <c r="E122">
        <v>42</v>
      </c>
      <c r="F122">
        <v>0</v>
      </c>
      <c r="G122">
        <v>0</v>
      </c>
      <c r="H122">
        <v>1</v>
      </c>
      <c r="I122">
        <v>3.39</v>
      </c>
      <c r="J122">
        <v>94.54</v>
      </c>
      <c r="K122">
        <v>3.59</v>
      </c>
      <c r="L122">
        <v>2021</v>
      </c>
      <c r="M122">
        <v>13</v>
      </c>
      <c r="N122">
        <v>0.64</v>
      </c>
      <c r="O122" t="s">
        <v>18</v>
      </c>
      <c r="P122">
        <f>Table1[Active]/Table1[Confirmed]*100</f>
        <v>2.0648967551622417</v>
      </c>
      <c r="Q122">
        <f>Table1[New_cases]/Table1[Confirmed_last_week]*100</f>
        <v>0</v>
      </c>
      <c r="R122">
        <f>Table1[Confirmed]-Table1[Recovered]</f>
        <v>111</v>
      </c>
      <c r="S122">
        <f>Table1[Deaths]/Table1[Confirmed]*100</f>
        <v>3.3923303834808261</v>
      </c>
      <c r="T122">
        <f>D122:D308/Table1[Deaths]</f>
        <v>27.869565217391305</v>
      </c>
    </row>
    <row r="123" spans="1:20" x14ac:dyDescent="0.25">
      <c r="A123" t="s">
        <v>123</v>
      </c>
      <c r="B123">
        <v>2019</v>
      </c>
      <c r="C123">
        <v>80</v>
      </c>
      <c r="D123">
        <v>1620</v>
      </c>
      <c r="E123">
        <v>319</v>
      </c>
      <c r="F123">
        <v>11</v>
      </c>
      <c r="G123">
        <v>0</v>
      </c>
      <c r="H123">
        <v>4</v>
      </c>
      <c r="I123">
        <v>3.96</v>
      </c>
      <c r="J123">
        <v>80.239999999999995</v>
      </c>
      <c r="K123">
        <v>4.9400000000000004</v>
      </c>
      <c r="L123">
        <v>1947</v>
      </c>
      <c r="M123">
        <v>72</v>
      </c>
      <c r="N123">
        <v>3.7</v>
      </c>
      <c r="O123" t="s">
        <v>18</v>
      </c>
      <c r="P123">
        <f>Table1[Active]/Table1[Confirmed]*100</f>
        <v>15.79990094105993</v>
      </c>
      <c r="Q123">
        <f>Table1[New_cases]/Table1[Confirmed_last_week]*100</f>
        <v>0.56497175141242939</v>
      </c>
      <c r="R123">
        <f>Table1[Confirmed]-Table1[Recovered]</f>
        <v>399</v>
      </c>
      <c r="S123">
        <f>Table1[Deaths]/Table1[Confirmed]*100</f>
        <v>3.96235760277365</v>
      </c>
      <c r="T123">
        <f>D123:D309/Table1[Deaths]</f>
        <v>20.25</v>
      </c>
    </row>
    <row r="124" spans="1:20" x14ac:dyDescent="0.25">
      <c r="A124" t="s">
        <v>94</v>
      </c>
      <c r="B124">
        <v>1954</v>
      </c>
      <c r="C124">
        <v>26</v>
      </c>
      <c r="D124">
        <v>803</v>
      </c>
      <c r="E124">
        <v>1125</v>
      </c>
      <c r="F124">
        <v>0</v>
      </c>
      <c r="G124">
        <v>0</v>
      </c>
      <c r="H124">
        <v>0</v>
      </c>
      <c r="I124">
        <v>1.33</v>
      </c>
      <c r="J124">
        <v>41.1</v>
      </c>
      <c r="K124">
        <v>3.24</v>
      </c>
      <c r="L124">
        <v>1949</v>
      </c>
      <c r="M124">
        <v>5</v>
      </c>
      <c r="N124">
        <v>0.26</v>
      </c>
      <c r="O124" t="s">
        <v>20</v>
      </c>
      <c r="P124">
        <f>Table1[Active]/Table1[Confirmed]*100</f>
        <v>57.574206755373595</v>
      </c>
      <c r="Q124">
        <f>Table1[New_cases]/Table1[Confirmed_last_week]*100</f>
        <v>0</v>
      </c>
      <c r="R124">
        <f>Table1[Confirmed]-Table1[Recovered]</f>
        <v>1151</v>
      </c>
      <c r="S124">
        <f>Table1[Deaths]/Table1[Confirmed]*100</f>
        <v>1.3306038894575232</v>
      </c>
      <c r="T124">
        <f>D124:D310/Table1[Deaths]</f>
        <v>30.884615384615383</v>
      </c>
    </row>
    <row r="125" spans="1:20" x14ac:dyDescent="0.25">
      <c r="A125" t="s">
        <v>161</v>
      </c>
      <c r="B125">
        <v>1879</v>
      </c>
      <c r="C125">
        <v>5</v>
      </c>
      <c r="D125">
        <v>975</v>
      </c>
      <c r="E125">
        <v>899</v>
      </c>
      <c r="F125">
        <v>58</v>
      </c>
      <c r="G125">
        <v>0</v>
      </c>
      <c r="H125">
        <v>57</v>
      </c>
      <c r="I125">
        <v>0.27</v>
      </c>
      <c r="J125">
        <v>51.89</v>
      </c>
      <c r="K125">
        <v>0.51</v>
      </c>
      <c r="L125">
        <v>1629</v>
      </c>
      <c r="M125">
        <v>250</v>
      </c>
      <c r="N125">
        <v>15.35</v>
      </c>
      <c r="O125" t="s">
        <v>20</v>
      </c>
      <c r="P125">
        <f>Table1[Active]/Table1[Confirmed]*100</f>
        <v>47.844598190526874</v>
      </c>
      <c r="Q125">
        <f>Table1[New_cases]/Table1[Confirmed_last_week]*100</f>
        <v>3.560466543891958</v>
      </c>
      <c r="R125">
        <f>Table1[Confirmed]-Table1[Recovered]</f>
        <v>904</v>
      </c>
      <c r="S125">
        <f>Table1[Deaths]/Table1[Confirmed]*100</f>
        <v>0.26609898882384247</v>
      </c>
      <c r="T125">
        <f>D125:D311/Table1[Deaths]</f>
        <v>195</v>
      </c>
    </row>
    <row r="126" spans="1:20" x14ac:dyDescent="0.25">
      <c r="A126" t="s">
        <v>100</v>
      </c>
      <c r="B126">
        <v>1854</v>
      </c>
      <c r="C126">
        <v>10</v>
      </c>
      <c r="D126">
        <v>1823</v>
      </c>
      <c r="E126">
        <v>21</v>
      </c>
      <c r="F126">
        <v>7</v>
      </c>
      <c r="G126">
        <v>0</v>
      </c>
      <c r="H126">
        <v>0</v>
      </c>
      <c r="I126">
        <v>0.54</v>
      </c>
      <c r="J126">
        <v>98.33</v>
      </c>
      <c r="K126">
        <v>0.55000000000000004</v>
      </c>
      <c r="L126">
        <v>1839</v>
      </c>
      <c r="M126">
        <v>15</v>
      </c>
      <c r="N126">
        <v>0.82</v>
      </c>
      <c r="O126" t="s">
        <v>18</v>
      </c>
      <c r="P126">
        <f>Table1[Active]/Table1[Confirmed]*100</f>
        <v>1.1326860841423949</v>
      </c>
      <c r="Q126">
        <f>Table1[New_cases]/Table1[Confirmed_last_week]*100</f>
        <v>0.38064165307232195</v>
      </c>
      <c r="R126">
        <f>Table1[Confirmed]-Table1[Recovered]</f>
        <v>31</v>
      </c>
      <c r="S126">
        <f>Table1[Deaths]/Table1[Confirmed]*100</f>
        <v>0.53937432578209277</v>
      </c>
      <c r="T126">
        <f>D126:D312/Table1[Deaths]</f>
        <v>182.3</v>
      </c>
    </row>
    <row r="127" spans="1:20" x14ac:dyDescent="0.25">
      <c r="A127" t="s">
        <v>140</v>
      </c>
      <c r="B127">
        <v>1843</v>
      </c>
      <c r="C127">
        <v>8</v>
      </c>
      <c r="D127">
        <v>101</v>
      </c>
      <c r="E127">
        <v>1734</v>
      </c>
      <c r="F127">
        <v>68</v>
      </c>
      <c r="G127">
        <v>0</v>
      </c>
      <c r="H127">
        <v>26</v>
      </c>
      <c r="I127">
        <v>0.43</v>
      </c>
      <c r="J127">
        <v>5.48</v>
      </c>
      <c r="K127">
        <v>7.92</v>
      </c>
      <c r="L127">
        <v>1344</v>
      </c>
      <c r="M127">
        <v>499</v>
      </c>
      <c r="N127">
        <v>37.130000000000003</v>
      </c>
      <c r="O127" t="s">
        <v>20</v>
      </c>
      <c r="P127">
        <f>Table1[Active]/Table1[Confirmed]*100</f>
        <v>94.085729788388491</v>
      </c>
      <c r="Q127">
        <f>Table1[New_cases]/Table1[Confirmed_last_week]*100</f>
        <v>5.0595238095238093</v>
      </c>
      <c r="R127">
        <f>Table1[Confirmed]-Table1[Recovered]</f>
        <v>1742</v>
      </c>
      <c r="S127">
        <f>Table1[Deaths]/Table1[Confirmed]*100</f>
        <v>0.43407487791644062</v>
      </c>
      <c r="T127">
        <f>D127:D313/Table1[Deaths]</f>
        <v>12.625</v>
      </c>
    </row>
    <row r="128" spans="1:20" x14ac:dyDescent="0.25">
      <c r="A128" t="s">
        <v>171</v>
      </c>
      <c r="B128">
        <v>1783</v>
      </c>
      <c r="C128">
        <v>66</v>
      </c>
      <c r="D128">
        <v>1317</v>
      </c>
      <c r="E128">
        <v>400</v>
      </c>
      <c r="F128">
        <v>0</v>
      </c>
      <c r="G128">
        <v>0</v>
      </c>
      <c r="H128">
        <v>4</v>
      </c>
      <c r="I128">
        <v>3.7</v>
      </c>
      <c r="J128">
        <v>73.86</v>
      </c>
      <c r="K128">
        <v>5.01</v>
      </c>
      <c r="L128">
        <v>1711</v>
      </c>
      <c r="M128">
        <v>72</v>
      </c>
      <c r="N128">
        <v>4.21</v>
      </c>
      <c r="O128" t="s">
        <v>20</v>
      </c>
      <c r="P128">
        <f>Table1[Active]/Table1[Confirmed]*100</f>
        <v>22.434099831744252</v>
      </c>
      <c r="Q128">
        <f>Table1[New_cases]/Table1[Confirmed_last_week]*100</f>
        <v>0</v>
      </c>
      <c r="R128">
        <f>Table1[Confirmed]-Table1[Recovered]</f>
        <v>466</v>
      </c>
      <c r="S128">
        <f>Table1[Deaths]/Table1[Confirmed]*100</f>
        <v>3.7016264722378009</v>
      </c>
      <c r="T128">
        <f>D128:D314/Table1[Deaths]</f>
        <v>19.954545454545453</v>
      </c>
    </row>
    <row r="129" spans="1:20" x14ac:dyDescent="0.25">
      <c r="A129" t="s">
        <v>39</v>
      </c>
      <c r="B129">
        <v>1770</v>
      </c>
      <c r="C129">
        <v>35</v>
      </c>
      <c r="D129">
        <v>1036</v>
      </c>
      <c r="E129">
        <v>699</v>
      </c>
      <c r="F129">
        <v>0</v>
      </c>
      <c r="G129">
        <v>0</v>
      </c>
      <c r="H129">
        <v>0</v>
      </c>
      <c r="I129">
        <v>1.98</v>
      </c>
      <c r="J129">
        <v>58.53</v>
      </c>
      <c r="K129">
        <v>3.38</v>
      </c>
      <c r="L129">
        <v>1602</v>
      </c>
      <c r="M129">
        <v>168</v>
      </c>
      <c r="N129">
        <v>10.49</v>
      </c>
      <c r="O129" t="s">
        <v>20</v>
      </c>
      <c r="P129">
        <f>Table1[Active]/Table1[Confirmed]*100</f>
        <v>39.49152542372881</v>
      </c>
      <c r="Q129">
        <f>Table1[New_cases]/Table1[Confirmed_last_week]*100</f>
        <v>0</v>
      </c>
      <c r="R129">
        <f>Table1[Confirmed]-Table1[Recovered]</f>
        <v>734</v>
      </c>
      <c r="S129">
        <f>Table1[Deaths]/Table1[Confirmed]*100</f>
        <v>1.977401129943503</v>
      </c>
      <c r="T129">
        <f>D129:D315/Table1[Deaths]</f>
        <v>29.6</v>
      </c>
    </row>
    <row r="130" spans="1:20" x14ac:dyDescent="0.25">
      <c r="A130" t="s">
        <v>139</v>
      </c>
      <c r="B130">
        <v>1701</v>
      </c>
      <c r="C130">
        <v>11</v>
      </c>
      <c r="D130">
        <v>0</v>
      </c>
      <c r="E130">
        <v>1690</v>
      </c>
      <c r="F130">
        <v>32</v>
      </c>
      <c r="G130">
        <v>0</v>
      </c>
      <c r="H130">
        <v>0</v>
      </c>
      <c r="I130">
        <v>0.65</v>
      </c>
      <c r="J130">
        <v>0</v>
      </c>
      <c r="K130" t="s">
        <v>54</v>
      </c>
      <c r="L130">
        <v>1507</v>
      </c>
      <c r="M130">
        <v>194</v>
      </c>
      <c r="N130">
        <v>12.87</v>
      </c>
      <c r="O130" t="s">
        <v>20</v>
      </c>
      <c r="P130">
        <f>Table1[Active]/Table1[Confirmed]*100</f>
        <v>99.353321575543802</v>
      </c>
      <c r="Q130">
        <f>Table1[New_cases]/Table1[Confirmed_last_week]*100</f>
        <v>2.1234240212342401</v>
      </c>
      <c r="R130">
        <f>Table1[Confirmed]-Table1[Recovered]</f>
        <v>1701</v>
      </c>
      <c r="S130">
        <f>Table1[Deaths]/Table1[Confirmed]*100</f>
        <v>0.64667842445620227</v>
      </c>
      <c r="T130">
        <f>D130:D316/Table1[Deaths]</f>
        <v>0</v>
      </c>
    </row>
    <row r="131" spans="1:20" x14ac:dyDescent="0.25">
      <c r="A131" t="s">
        <v>206</v>
      </c>
      <c r="B131">
        <v>1691</v>
      </c>
      <c r="C131">
        <v>483</v>
      </c>
      <c r="D131">
        <v>833</v>
      </c>
      <c r="E131">
        <v>375</v>
      </c>
      <c r="F131">
        <v>10</v>
      </c>
      <c r="G131">
        <v>4</v>
      </c>
      <c r="H131">
        <v>36</v>
      </c>
      <c r="I131">
        <v>28.56</v>
      </c>
      <c r="J131">
        <v>49.26</v>
      </c>
      <c r="K131">
        <v>57.98</v>
      </c>
      <c r="L131">
        <v>1619</v>
      </c>
      <c r="M131">
        <v>72</v>
      </c>
      <c r="N131">
        <v>4.45</v>
      </c>
      <c r="O131" t="s">
        <v>16</v>
      </c>
      <c r="P131">
        <f>Table1[Active]/Table1[Confirmed]*100</f>
        <v>22.176227084565344</v>
      </c>
      <c r="Q131">
        <f>Table1[New_cases]/Table1[Confirmed_last_week]*100</f>
        <v>0.61766522544780722</v>
      </c>
      <c r="R131">
        <f>Table1[Confirmed]-Table1[Recovered]</f>
        <v>858</v>
      </c>
      <c r="S131">
        <f>Table1[Deaths]/Table1[Confirmed]*100</f>
        <v>28.562980484920164</v>
      </c>
      <c r="T131">
        <f>D131:D317/Table1[Deaths]</f>
        <v>1.7246376811594204</v>
      </c>
    </row>
    <row r="132" spans="1:20" x14ac:dyDescent="0.25">
      <c r="A132" t="s">
        <v>143</v>
      </c>
      <c r="B132">
        <v>1557</v>
      </c>
      <c r="C132">
        <v>22</v>
      </c>
      <c r="D132">
        <v>1514</v>
      </c>
      <c r="E132">
        <v>21</v>
      </c>
      <c r="F132">
        <v>1</v>
      </c>
      <c r="G132">
        <v>0</v>
      </c>
      <c r="H132">
        <v>1</v>
      </c>
      <c r="I132">
        <v>1.41</v>
      </c>
      <c r="J132">
        <v>97.24</v>
      </c>
      <c r="K132">
        <v>1.45</v>
      </c>
      <c r="L132">
        <v>1555</v>
      </c>
      <c r="M132">
        <v>2</v>
      </c>
      <c r="N132">
        <v>0.13</v>
      </c>
      <c r="O132" t="s">
        <v>28</v>
      </c>
      <c r="P132">
        <f>Table1[Active]/Table1[Confirmed]*100</f>
        <v>1.3487475915221581</v>
      </c>
      <c r="Q132">
        <f>Table1[New_cases]/Table1[Confirmed_last_week]*100</f>
        <v>6.4308681672025719E-2</v>
      </c>
      <c r="R132">
        <f>Table1[Confirmed]-Table1[Recovered]</f>
        <v>43</v>
      </c>
      <c r="S132">
        <f>Table1[Deaths]/Table1[Confirmed]*100</f>
        <v>1.4129736673089275</v>
      </c>
      <c r="T132">
        <f>D132:D318/Table1[Deaths]</f>
        <v>68.818181818181813</v>
      </c>
    </row>
    <row r="133" spans="1:20" x14ac:dyDescent="0.25">
      <c r="A133" t="s">
        <v>182</v>
      </c>
      <c r="B133">
        <v>1483</v>
      </c>
      <c r="C133">
        <v>24</v>
      </c>
      <c r="D133">
        <v>925</v>
      </c>
      <c r="E133">
        <v>534</v>
      </c>
      <c r="F133">
        <v>44</v>
      </c>
      <c r="G133">
        <v>1</v>
      </c>
      <c r="H133">
        <v>35</v>
      </c>
      <c r="I133">
        <v>1.62</v>
      </c>
      <c r="J133">
        <v>62.37</v>
      </c>
      <c r="K133">
        <v>2.59</v>
      </c>
      <c r="L133">
        <v>1079</v>
      </c>
      <c r="M133">
        <v>404</v>
      </c>
      <c r="N133">
        <v>37.44</v>
      </c>
      <c r="O133" t="s">
        <v>24</v>
      </c>
      <c r="P133">
        <f>Table1[Active]/Table1[Confirmed]*100</f>
        <v>36.008091706001352</v>
      </c>
      <c r="Q133">
        <f>Table1[New_cases]/Table1[Confirmed_last_week]*100</f>
        <v>4.0778498609823908</v>
      </c>
      <c r="R133">
        <f>Table1[Confirmed]-Table1[Recovered]</f>
        <v>558</v>
      </c>
      <c r="S133">
        <f>Table1[Deaths]/Table1[Confirmed]*100</f>
        <v>1.6183412002697235</v>
      </c>
      <c r="T133">
        <f>D133:D319/Table1[Deaths]</f>
        <v>38.541666666666664</v>
      </c>
    </row>
    <row r="134" spans="1:20" x14ac:dyDescent="0.25">
      <c r="A134" t="s">
        <v>193</v>
      </c>
      <c r="B134">
        <v>1455</v>
      </c>
      <c r="C134">
        <v>50</v>
      </c>
      <c r="D134">
        <v>1157</v>
      </c>
      <c r="E134">
        <v>248</v>
      </c>
      <c r="F134">
        <v>3</v>
      </c>
      <c r="G134">
        <v>0</v>
      </c>
      <c r="H134">
        <v>15</v>
      </c>
      <c r="I134">
        <v>3.44</v>
      </c>
      <c r="J134">
        <v>79.52</v>
      </c>
      <c r="K134">
        <v>4.32</v>
      </c>
      <c r="L134">
        <v>1381</v>
      </c>
      <c r="M134">
        <v>74</v>
      </c>
      <c r="N134">
        <v>5.36</v>
      </c>
      <c r="O134" t="s">
        <v>16</v>
      </c>
      <c r="P134">
        <f>Table1[Active]/Table1[Confirmed]*100</f>
        <v>17.0446735395189</v>
      </c>
      <c r="Q134">
        <f>Table1[New_cases]/Table1[Confirmed_last_week]*100</f>
        <v>0.21723388848660391</v>
      </c>
      <c r="R134">
        <f>Table1[Confirmed]-Table1[Recovered]</f>
        <v>298</v>
      </c>
      <c r="S134">
        <f>Table1[Deaths]/Table1[Confirmed]*100</f>
        <v>3.4364261168384882</v>
      </c>
      <c r="T134">
        <f>D134:D320/Table1[Deaths]</f>
        <v>23.14</v>
      </c>
    </row>
    <row r="135" spans="1:20" x14ac:dyDescent="0.25">
      <c r="A135" t="s">
        <v>117</v>
      </c>
      <c r="B135">
        <v>1219</v>
      </c>
      <c r="C135">
        <v>31</v>
      </c>
      <c r="D135">
        <v>1045</v>
      </c>
      <c r="E135">
        <v>143</v>
      </c>
      <c r="F135">
        <v>0</v>
      </c>
      <c r="G135">
        <v>0</v>
      </c>
      <c r="H135">
        <v>0</v>
      </c>
      <c r="I135">
        <v>2.54</v>
      </c>
      <c r="J135">
        <v>85.73</v>
      </c>
      <c r="K135">
        <v>2.97</v>
      </c>
      <c r="L135">
        <v>1192</v>
      </c>
      <c r="M135">
        <v>27</v>
      </c>
      <c r="N135">
        <v>2.27</v>
      </c>
      <c r="O135" t="s">
        <v>18</v>
      </c>
      <c r="P135">
        <f>Table1[Active]/Table1[Confirmed]*100</f>
        <v>11.73092698933552</v>
      </c>
      <c r="Q135">
        <f>Table1[New_cases]/Table1[Confirmed_last_week]*100</f>
        <v>0</v>
      </c>
      <c r="R135">
        <f>Table1[Confirmed]-Table1[Recovered]</f>
        <v>174</v>
      </c>
      <c r="S135">
        <f>Table1[Deaths]/Table1[Confirmed]*100</f>
        <v>2.5430680885972108</v>
      </c>
      <c r="T135">
        <f>D135:D321/Table1[Deaths]</f>
        <v>33.70967741935484</v>
      </c>
    </row>
    <row r="136" spans="1:20" x14ac:dyDescent="0.25">
      <c r="A136" t="s">
        <v>200</v>
      </c>
      <c r="B136">
        <v>1202</v>
      </c>
      <c r="C136">
        <v>35</v>
      </c>
      <c r="D136">
        <v>951</v>
      </c>
      <c r="E136">
        <v>216</v>
      </c>
      <c r="F136">
        <v>10</v>
      </c>
      <c r="G136">
        <v>1</v>
      </c>
      <c r="H136">
        <v>3</v>
      </c>
      <c r="I136">
        <v>2.91</v>
      </c>
      <c r="J136">
        <v>79.12</v>
      </c>
      <c r="K136">
        <v>3.68</v>
      </c>
      <c r="L136">
        <v>1064</v>
      </c>
      <c r="M136">
        <v>138</v>
      </c>
      <c r="N136">
        <v>12.97</v>
      </c>
      <c r="O136" t="s">
        <v>24</v>
      </c>
      <c r="P136">
        <f>Table1[Active]/Table1[Confirmed]*100</f>
        <v>17.970049916805326</v>
      </c>
      <c r="Q136">
        <f>Table1[New_cases]/Table1[Confirmed_last_week]*100</f>
        <v>0.93984962406015038</v>
      </c>
      <c r="R136">
        <f>Table1[Confirmed]-Table1[Recovered]</f>
        <v>251</v>
      </c>
      <c r="S136">
        <f>Table1[Deaths]/Table1[Confirmed]*100</f>
        <v>2.9118136439267883</v>
      </c>
      <c r="T136">
        <f>D136:D322/Table1[Deaths]</f>
        <v>27.171428571428571</v>
      </c>
    </row>
    <row r="137" spans="1:20" x14ac:dyDescent="0.25">
      <c r="A137" t="s">
        <v>110</v>
      </c>
      <c r="B137">
        <v>1176</v>
      </c>
      <c r="C137">
        <v>11</v>
      </c>
      <c r="D137">
        <v>1041</v>
      </c>
      <c r="E137">
        <v>124</v>
      </c>
      <c r="F137">
        <v>8</v>
      </c>
      <c r="G137">
        <v>0</v>
      </c>
      <c r="H137">
        <v>0</v>
      </c>
      <c r="I137">
        <v>0.94</v>
      </c>
      <c r="J137">
        <v>88.52</v>
      </c>
      <c r="K137">
        <v>1.06</v>
      </c>
      <c r="L137">
        <v>1223</v>
      </c>
      <c r="M137">
        <v>-47</v>
      </c>
      <c r="N137">
        <v>-3.84</v>
      </c>
      <c r="O137" t="s">
        <v>16</v>
      </c>
      <c r="P137">
        <f>Table1[Active]/Table1[Confirmed]*100</f>
        <v>10.544217687074831</v>
      </c>
      <c r="Q137">
        <f>Table1[New_cases]/Table1[Confirmed_last_week]*100</f>
        <v>0.65412919051512675</v>
      </c>
      <c r="R137">
        <f>Table1[Confirmed]-Table1[Recovered]</f>
        <v>135</v>
      </c>
      <c r="S137">
        <f>Table1[Deaths]/Table1[Confirmed]*100</f>
        <v>0.93537414965986398</v>
      </c>
      <c r="T137">
        <f>D137:D323/Table1[Deaths]</f>
        <v>94.63636363636364</v>
      </c>
    </row>
    <row r="138" spans="1:20" x14ac:dyDescent="0.25">
      <c r="A138" t="s">
        <v>120</v>
      </c>
      <c r="B138">
        <v>1167</v>
      </c>
      <c r="C138">
        <v>72</v>
      </c>
      <c r="D138">
        <v>646</v>
      </c>
      <c r="E138">
        <v>449</v>
      </c>
      <c r="F138">
        <v>5</v>
      </c>
      <c r="G138">
        <v>0</v>
      </c>
      <c r="H138">
        <v>5</v>
      </c>
      <c r="I138">
        <v>6.17</v>
      </c>
      <c r="J138">
        <v>55.36</v>
      </c>
      <c r="K138">
        <v>11.15</v>
      </c>
      <c r="L138">
        <v>1107</v>
      </c>
      <c r="M138">
        <v>60</v>
      </c>
      <c r="N138">
        <v>5.42</v>
      </c>
      <c r="O138" t="s">
        <v>20</v>
      </c>
      <c r="P138">
        <f>Table1[Active]/Table1[Confirmed]*100</f>
        <v>38.474721508140533</v>
      </c>
      <c r="Q138">
        <f>Table1[New_cases]/Table1[Confirmed_last_week]*100</f>
        <v>0.45167118337850043</v>
      </c>
      <c r="R138">
        <f>Table1[Confirmed]-Table1[Recovered]</f>
        <v>521</v>
      </c>
      <c r="S138">
        <f>Table1[Deaths]/Table1[Confirmed]*100</f>
        <v>6.1696658097686372</v>
      </c>
      <c r="T138">
        <f>D138:D324/Table1[Deaths]</f>
        <v>8.9722222222222214</v>
      </c>
    </row>
    <row r="139" spans="1:20" x14ac:dyDescent="0.25">
      <c r="A139" t="s">
        <v>86</v>
      </c>
      <c r="B139">
        <v>1137</v>
      </c>
      <c r="C139">
        <v>16</v>
      </c>
      <c r="D139">
        <v>922</v>
      </c>
      <c r="E139">
        <v>199</v>
      </c>
      <c r="F139">
        <v>6</v>
      </c>
      <c r="G139">
        <v>0</v>
      </c>
      <c r="H139">
        <v>2</v>
      </c>
      <c r="I139">
        <v>1.41</v>
      </c>
      <c r="J139">
        <v>81.09</v>
      </c>
      <c r="K139">
        <v>1.74</v>
      </c>
      <c r="L139">
        <v>1039</v>
      </c>
      <c r="M139">
        <v>98</v>
      </c>
      <c r="N139">
        <v>9.43</v>
      </c>
      <c r="O139" t="s">
        <v>18</v>
      </c>
      <c r="P139">
        <f>Table1[Active]/Table1[Confirmed]*100</f>
        <v>17.502198768689535</v>
      </c>
      <c r="Q139">
        <f>Table1[New_cases]/Table1[Confirmed_last_week]*100</f>
        <v>0.57747834456207892</v>
      </c>
      <c r="R139">
        <f>Table1[Confirmed]-Table1[Recovered]</f>
        <v>215</v>
      </c>
      <c r="S139">
        <f>Table1[Deaths]/Table1[Confirmed]*100</f>
        <v>1.4072119613016711</v>
      </c>
      <c r="T139">
        <f>D139:D325/Table1[Deaths]</f>
        <v>57.625</v>
      </c>
    </row>
    <row r="140" spans="1:20" x14ac:dyDescent="0.25">
      <c r="A140" t="s">
        <v>145</v>
      </c>
      <c r="B140">
        <v>1132</v>
      </c>
      <c r="C140">
        <v>69</v>
      </c>
      <c r="D140">
        <v>1027</v>
      </c>
      <c r="E140">
        <v>36</v>
      </c>
      <c r="F140">
        <v>0</v>
      </c>
      <c r="G140">
        <v>0</v>
      </c>
      <c r="H140">
        <v>0</v>
      </c>
      <c r="I140">
        <v>6.1</v>
      </c>
      <c r="J140">
        <v>90.72</v>
      </c>
      <c r="K140">
        <v>6.72</v>
      </c>
      <c r="L140">
        <v>1105</v>
      </c>
      <c r="M140">
        <v>27</v>
      </c>
      <c r="N140">
        <v>2.44</v>
      </c>
      <c r="O140" t="s">
        <v>20</v>
      </c>
      <c r="P140">
        <f>Table1[Active]/Table1[Confirmed]*100</f>
        <v>3.1802120141342751</v>
      </c>
      <c r="Q140">
        <f>Table1[New_cases]/Table1[Confirmed_last_week]*100</f>
        <v>0</v>
      </c>
      <c r="R140">
        <f>Table1[Confirmed]-Table1[Recovered]</f>
        <v>105</v>
      </c>
      <c r="S140">
        <f>Table1[Deaths]/Table1[Confirmed]*100</f>
        <v>6.0954063604240289</v>
      </c>
      <c r="T140">
        <f>D140:D326/Table1[Deaths]</f>
        <v>14.884057971014492</v>
      </c>
    </row>
    <row r="141" spans="1:20" x14ac:dyDescent="0.25">
      <c r="A141" t="s">
        <v>196</v>
      </c>
      <c r="B141">
        <v>1128</v>
      </c>
      <c r="C141">
        <v>2</v>
      </c>
      <c r="D141">
        <v>986</v>
      </c>
      <c r="E141">
        <v>140</v>
      </c>
      <c r="F141">
        <v>13</v>
      </c>
      <c r="G141">
        <v>0</v>
      </c>
      <c r="H141">
        <v>4</v>
      </c>
      <c r="I141">
        <v>0.18</v>
      </c>
      <c r="J141">
        <v>87.41</v>
      </c>
      <c r="K141">
        <v>0.2</v>
      </c>
      <c r="L141">
        <v>1069</v>
      </c>
      <c r="M141">
        <v>59</v>
      </c>
      <c r="N141">
        <v>5.52</v>
      </c>
      <c r="O141" t="s">
        <v>20</v>
      </c>
      <c r="P141">
        <f>Table1[Active]/Table1[Confirmed]*100</f>
        <v>12.411347517730496</v>
      </c>
      <c r="Q141">
        <f>Table1[New_cases]/Table1[Confirmed_last_week]*100</f>
        <v>1.2160898035547241</v>
      </c>
      <c r="R141">
        <f>Table1[Confirmed]-Table1[Recovered]</f>
        <v>142</v>
      </c>
      <c r="S141">
        <f>Table1[Deaths]/Table1[Confirmed]*100</f>
        <v>0.1773049645390071</v>
      </c>
      <c r="T141">
        <f>D141:D327/Table1[Deaths]</f>
        <v>493</v>
      </c>
    </row>
    <row r="142" spans="1:20" x14ac:dyDescent="0.25">
      <c r="A142" t="s">
        <v>47</v>
      </c>
      <c r="B142">
        <v>1100</v>
      </c>
      <c r="C142">
        <v>53</v>
      </c>
      <c r="D142">
        <v>926</v>
      </c>
      <c r="E142">
        <v>121</v>
      </c>
      <c r="F142">
        <v>14</v>
      </c>
      <c r="G142">
        <v>0</v>
      </c>
      <c r="H142">
        <v>6</v>
      </c>
      <c r="I142">
        <v>4.82</v>
      </c>
      <c r="J142">
        <v>84.18</v>
      </c>
      <c r="K142">
        <v>5.72</v>
      </c>
      <c r="L142">
        <v>1065</v>
      </c>
      <c r="M142">
        <v>35</v>
      </c>
      <c r="N142">
        <v>3.29</v>
      </c>
      <c r="O142" t="s">
        <v>20</v>
      </c>
      <c r="P142">
        <f>Table1[Active]/Table1[Confirmed]*100</f>
        <v>11</v>
      </c>
      <c r="Q142">
        <f>Table1[New_cases]/Table1[Confirmed_last_week]*100</f>
        <v>1.3145539906103285</v>
      </c>
      <c r="R142">
        <f>Table1[Confirmed]-Table1[Recovered]</f>
        <v>174</v>
      </c>
      <c r="S142">
        <f>Table1[Deaths]/Table1[Confirmed]*100</f>
        <v>4.8181818181818183</v>
      </c>
      <c r="T142">
        <f>D142:D328/Table1[Deaths]</f>
        <v>17.471698113207548</v>
      </c>
    </row>
    <row r="143" spans="1:20" x14ac:dyDescent="0.25">
      <c r="A143" t="s">
        <v>67</v>
      </c>
      <c r="B143">
        <v>1060</v>
      </c>
      <c r="C143">
        <v>19</v>
      </c>
      <c r="D143">
        <v>852</v>
      </c>
      <c r="E143">
        <v>189</v>
      </c>
      <c r="F143">
        <v>3</v>
      </c>
      <c r="G143">
        <v>0</v>
      </c>
      <c r="H143">
        <v>0</v>
      </c>
      <c r="I143">
        <v>1.79</v>
      </c>
      <c r="J143">
        <v>80.38</v>
      </c>
      <c r="K143">
        <v>2.23</v>
      </c>
      <c r="L143">
        <v>1038</v>
      </c>
      <c r="M143">
        <v>22</v>
      </c>
      <c r="N143">
        <v>2.12</v>
      </c>
      <c r="O143" t="s">
        <v>18</v>
      </c>
      <c r="P143">
        <f>Table1[Active]/Table1[Confirmed]*100</f>
        <v>17.830188679245282</v>
      </c>
      <c r="Q143">
        <f>Table1[New_cases]/Table1[Confirmed_last_week]*100</f>
        <v>0.28901734104046239</v>
      </c>
      <c r="R143">
        <f>Table1[Confirmed]-Table1[Recovered]</f>
        <v>208</v>
      </c>
      <c r="S143">
        <f>Table1[Deaths]/Table1[Confirmed]*100</f>
        <v>1.7924528301886793</v>
      </c>
      <c r="T143">
        <f>D143:D329/Table1[Deaths]</f>
        <v>44.842105263157897</v>
      </c>
    </row>
    <row r="144" spans="1:20" x14ac:dyDescent="0.25">
      <c r="A144" t="s">
        <v>22</v>
      </c>
      <c r="B144">
        <v>950</v>
      </c>
      <c r="C144">
        <v>41</v>
      </c>
      <c r="D144">
        <v>242</v>
      </c>
      <c r="E144">
        <v>667</v>
      </c>
      <c r="F144">
        <v>18</v>
      </c>
      <c r="G144">
        <v>1</v>
      </c>
      <c r="H144">
        <v>0</v>
      </c>
      <c r="I144">
        <v>4.32</v>
      </c>
      <c r="J144">
        <v>25.47</v>
      </c>
      <c r="K144">
        <v>16.940000000000001</v>
      </c>
      <c r="L144">
        <v>749</v>
      </c>
      <c r="M144">
        <v>201</v>
      </c>
      <c r="N144">
        <v>26.84</v>
      </c>
      <c r="O144" t="s">
        <v>20</v>
      </c>
      <c r="P144">
        <f>Table1[Active]/Table1[Confirmed]*100</f>
        <v>70.21052631578948</v>
      </c>
      <c r="Q144">
        <f>Table1[New_cases]/Table1[Confirmed_last_week]*100</f>
        <v>2.4032042723631508</v>
      </c>
      <c r="R144">
        <f>Table1[Confirmed]-Table1[Recovered]</f>
        <v>708</v>
      </c>
      <c r="S144">
        <f>Table1[Deaths]/Table1[Confirmed]*100</f>
        <v>4.3157894736842106</v>
      </c>
      <c r="T144">
        <f>D144:D330/Table1[Deaths]</f>
        <v>5.9024390243902438</v>
      </c>
    </row>
    <row r="145" spans="1:20" x14ac:dyDescent="0.25">
      <c r="A145" t="s">
        <v>56</v>
      </c>
      <c r="B145">
        <v>922</v>
      </c>
      <c r="C145">
        <v>75</v>
      </c>
      <c r="D145">
        <v>810</v>
      </c>
      <c r="E145">
        <v>37</v>
      </c>
      <c r="F145">
        <v>7</v>
      </c>
      <c r="G145">
        <v>0</v>
      </c>
      <c r="H145">
        <v>0</v>
      </c>
      <c r="I145">
        <v>8.1300000000000008</v>
      </c>
      <c r="J145">
        <v>87.85</v>
      </c>
      <c r="K145">
        <v>9.26</v>
      </c>
      <c r="L145">
        <v>889</v>
      </c>
      <c r="M145">
        <v>33</v>
      </c>
      <c r="N145">
        <v>3.71</v>
      </c>
      <c r="O145" t="s">
        <v>20</v>
      </c>
      <c r="P145">
        <f>Table1[Active]/Table1[Confirmed]*100</f>
        <v>4.0130151843817785</v>
      </c>
      <c r="Q145">
        <f>Table1[New_cases]/Table1[Confirmed_last_week]*100</f>
        <v>0.78740157480314954</v>
      </c>
      <c r="R145">
        <f>Table1[Confirmed]-Table1[Recovered]</f>
        <v>112</v>
      </c>
      <c r="S145">
        <f>Table1[Deaths]/Table1[Confirmed]*100</f>
        <v>8.1344902386117131</v>
      </c>
      <c r="T145">
        <f>D145:D331/Table1[Deaths]</f>
        <v>10.8</v>
      </c>
    </row>
    <row r="146" spans="1:20" x14ac:dyDescent="0.25">
      <c r="A146" t="s">
        <v>21</v>
      </c>
      <c r="B146">
        <v>907</v>
      </c>
      <c r="C146">
        <v>52</v>
      </c>
      <c r="D146">
        <v>803</v>
      </c>
      <c r="E146">
        <v>52</v>
      </c>
      <c r="F146">
        <v>10</v>
      </c>
      <c r="G146">
        <v>0</v>
      </c>
      <c r="H146">
        <v>0</v>
      </c>
      <c r="I146">
        <v>5.73</v>
      </c>
      <c r="J146">
        <v>88.53</v>
      </c>
      <c r="K146">
        <v>6.48</v>
      </c>
      <c r="L146">
        <v>884</v>
      </c>
      <c r="M146">
        <v>23</v>
      </c>
      <c r="N146">
        <v>2.6</v>
      </c>
      <c r="O146" t="s">
        <v>18</v>
      </c>
      <c r="P146">
        <f>Table1[Active]/Table1[Confirmed]*100</f>
        <v>5.7331863285556786</v>
      </c>
      <c r="Q146">
        <f>Table1[New_cases]/Table1[Confirmed_last_week]*100</f>
        <v>1.1312217194570136</v>
      </c>
      <c r="R146">
        <f>Table1[Confirmed]-Table1[Recovered]</f>
        <v>104</v>
      </c>
      <c r="S146">
        <f>Table1[Deaths]/Table1[Confirmed]*100</f>
        <v>5.7331863285556786</v>
      </c>
      <c r="T146">
        <f>D146:D332/Table1[Deaths]</f>
        <v>15.442307692307692</v>
      </c>
    </row>
    <row r="147" spans="1:20" x14ac:dyDescent="0.25">
      <c r="A147" t="s">
        <v>191</v>
      </c>
      <c r="B147">
        <v>874</v>
      </c>
      <c r="C147">
        <v>18</v>
      </c>
      <c r="D147">
        <v>607</v>
      </c>
      <c r="E147">
        <v>249</v>
      </c>
      <c r="F147">
        <v>6</v>
      </c>
      <c r="G147">
        <v>0</v>
      </c>
      <c r="H147">
        <v>8</v>
      </c>
      <c r="I147">
        <v>2.06</v>
      </c>
      <c r="J147">
        <v>69.45</v>
      </c>
      <c r="K147">
        <v>2.97</v>
      </c>
      <c r="L147">
        <v>783</v>
      </c>
      <c r="M147">
        <v>91</v>
      </c>
      <c r="N147">
        <v>11.62</v>
      </c>
      <c r="O147" t="s">
        <v>20</v>
      </c>
      <c r="P147">
        <f>Table1[Active]/Table1[Confirmed]*100</f>
        <v>28.489702517162474</v>
      </c>
      <c r="Q147">
        <f>Table1[New_cases]/Table1[Confirmed_last_week]*100</f>
        <v>0.76628352490421447</v>
      </c>
      <c r="R147">
        <f>Table1[Confirmed]-Table1[Recovered]</f>
        <v>267</v>
      </c>
      <c r="S147">
        <f>Table1[Deaths]/Table1[Confirmed]*100</f>
        <v>2.0594965675057209</v>
      </c>
      <c r="T147">
        <f>D147:D333/Table1[Deaths]</f>
        <v>33.722222222222221</v>
      </c>
    </row>
    <row r="148" spans="1:20" x14ac:dyDescent="0.25">
      <c r="A148" t="s">
        <v>166</v>
      </c>
      <c r="B148">
        <v>865</v>
      </c>
      <c r="C148">
        <v>14</v>
      </c>
      <c r="D148">
        <v>734</v>
      </c>
      <c r="E148">
        <v>117</v>
      </c>
      <c r="F148">
        <v>2</v>
      </c>
      <c r="G148">
        <v>0</v>
      </c>
      <c r="H148">
        <v>38</v>
      </c>
      <c r="I148">
        <v>1.62</v>
      </c>
      <c r="J148">
        <v>84.86</v>
      </c>
      <c r="K148">
        <v>1.91</v>
      </c>
      <c r="L148">
        <v>746</v>
      </c>
      <c r="M148">
        <v>119</v>
      </c>
      <c r="N148">
        <v>15.95</v>
      </c>
      <c r="O148" t="s">
        <v>20</v>
      </c>
      <c r="P148">
        <f>Table1[Active]/Table1[Confirmed]*100</f>
        <v>13.52601156069364</v>
      </c>
      <c r="Q148">
        <f>Table1[New_cases]/Table1[Confirmed_last_week]*100</f>
        <v>0.26809651474530832</v>
      </c>
      <c r="R148">
        <f>Table1[Confirmed]-Table1[Recovered]</f>
        <v>131</v>
      </c>
      <c r="S148">
        <f>Table1[Deaths]/Table1[Confirmed]*100</f>
        <v>1.6184971098265895</v>
      </c>
      <c r="T148">
        <f>D148:D334/Table1[Deaths]</f>
        <v>52.428571428571431</v>
      </c>
    </row>
    <row r="149" spans="1:20" x14ac:dyDescent="0.25">
      <c r="A149" t="s">
        <v>108</v>
      </c>
      <c r="B149">
        <v>853</v>
      </c>
      <c r="C149">
        <v>10</v>
      </c>
      <c r="D149">
        <v>714</v>
      </c>
      <c r="E149">
        <v>129</v>
      </c>
      <c r="F149">
        <v>11</v>
      </c>
      <c r="G149">
        <v>0</v>
      </c>
      <c r="H149">
        <v>0</v>
      </c>
      <c r="I149">
        <v>1.17</v>
      </c>
      <c r="J149">
        <v>83.7</v>
      </c>
      <c r="K149">
        <v>1.4</v>
      </c>
      <c r="L149">
        <v>809</v>
      </c>
      <c r="M149">
        <v>44</v>
      </c>
      <c r="N149">
        <v>5.44</v>
      </c>
      <c r="O149" t="s">
        <v>24</v>
      </c>
      <c r="P149">
        <f>Table1[Active]/Table1[Confirmed]*100</f>
        <v>15.123094958968347</v>
      </c>
      <c r="Q149">
        <f>Table1[New_cases]/Table1[Confirmed_last_week]*100</f>
        <v>1.3597033374536465</v>
      </c>
      <c r="R149">
        <f>Table1[Confirmed]-Table1[Recovered]</f>
        <v>139</v>
      </c>
      <c r="S149">
        <f>Table1[Deaths]/Table1[Confirmed]*100</f>
        <v>1.1723329425556859</v>
      </c>
      <c r="T149">
        <f>D149:D335/Table1[Deaths]</f>
        <v>71.400000000000006</v>
      </c>
    </row>
    <row r="150" spans="1:20" x14ac:dyDescent="0.25">
      <c r="A150" t="s">
        <v>43</v>
      </c>
      <c r="B150">
        <v>739</v>
      </c>
      <c r="C150">
        <v>2</v>
      </c>
      <c r="D150">
        <v>63</v>
      </c>
      <c r="E150">
        <v>674</v>
      </c>
      <c r="F150">
        <v>53</v>
      </c>
      <c r="G150">
        <v>1</v>
      </c>
      <c r="H150">
        <v>11</v>
      </c>
      <c r="I150">
        <v>0.27</v>
      </c>
      <c r="J150">
        <v>8.5299999999999994</v>
      </c>
      <c r="K150">
        <v>3.17</v>
      </c>
      <c r="L150">
        <v>522</v>
      </c>
      <c r="M150">
        <v>217</v>
      </c>
      <c r="N150">
        <v>41.57</v>
      </c>
      <c r="O150" t="s">
        <v>20</v>
      </c>
      <c r="P150">
        <f>Table1[Active]/Table1[Confirmed]*100</f>
        <v>91.204330175913398</v>
      </c>
      <c r="Q150">
        <f>Table1[New_cases]/Table1[Confirmed_last_week]*100</f>
        <v>10.153256704980842</v>
      </c>
      <c r="R150">
        <f>Table1[Confirmed]-Table1[Recovered]</f>
        <v>676</v>
      </c>
      <c r="S150">
        <f>Table1[Deaths]/Table1[Confirmed]*100</f>
        <v>0.2706359945872801</v>
      </c>
      <c r="T150">
        <f>D150:D336/Table1[Deaths]</f>
        <v>31.5</v>
      </c>
    </row>
    <row r="151" spans="1:20" x14ac:dyDescent="0.25">
      <c r="A151" t="s">
        <v>130</v>
      </c>
      <c r="B151">
        <v>701</v>
      </c>
      <c r="C151">
        <v>9</v>
      </c>
      <c r="D151">
        <v>665</v>
      </c>
      <c r="E151">
        <v>27</v>
      </c>
      <c r="F151">
        <v>1</v>
      </c>
      <c r="G151">
        <v>0</v>
      </c>
      <c r="H151">
        <v>0</v>
      </c>
      <c r="I151">
        <v>1.28</v>
      </c>
      <c r="J151">
        <v>94.86</v>
      </c>
      <c r="K151">
        <v>1.35</v>
      </c>
      <c r="L151">
        <v>677</v>
      </c>
      <c r="M151">
        <v>24</v>
      </c>
      <c r="N151">
        <v>3.55</v>
      </c>
      <c r="O151" t="s">
        <v>18</v>
      </c>
      <c r="P151">
        <f>Table1[Active]/Table1[Confirmed]*100</f>
        <v>3.8516405135520682</v>
      </c>
      <c r="Q151">
        <f>Table1[New_cases]/Table1[Confirmed_last_week]*100</f>
        <v>0.14771048744460857</v>
      </c>
      <c r="R151">
        <f>Table1[Confirmed]-Table1[Recovered]</f>
        <v>36</v>
      </c>
      <c r="S151">
        <f>Table1[Deaths]/Table1[Confirmed]*100</f>
        <v>1.2838801711840229</v>
      </c>
      <c r="T151">
        <f>D151:D337/Table1[Deaths]</f>
        <v>73.888888888888886</v>
      </c>
    </row>
    <row r="152" spans="1:20" x14ac:dyDescent="0.25">
      <c r="A152" t="s">
        <v>165</v>
      </c>
      <c r="B152">
        <v>699</v>
      </c>
      <c r="C152">
        <v>42</v>
      </c>
      <c r="D152">
        <v>657</v>
      </c>
      <c r="E152">
        <v>0</v>
      </c>
      <c r="F152">
        <v>0</v>
      </c>
      <c r="G152">
        <v>0</v>
      </c>
      <c r="H152">
        <v>0</v>
      </c>
      <c r="I152">
        <v>6.01</v>
      </c>
      <c r="J152">
        <v>93.99</v>
      </c>
      <c r="K152">
        <v>6.39</v>
      </c>
      <c r="L152">
        <v>699</v>
      </c>
      <c r="M152">
        <v>0</v>
      </c>
      <c r="N152">
        <v>0</v>
      </c>
      <c r="O152" t="s">
        <v>18</v>
      </c>
      <c r="P152">
        <f>Table1[Active]/Table1[Confirmed]*100</f>
        <v>0</v>
      </c>
      <c r="Q152">
        <f>Table1[New_cases]/Table1[Confirmed_last_week]*100</f>
        <v>0</v>
      </c>
      <c r="R152">
        <f>Table1[Confirmed]-Table1[Recovered]</f>
        <v>42</v>
      </c>
      <c r="S152">
        <f>Table1[Deaths]/Table1[Confirmed]*100</f>
        <v>6.0085836909871242</v>
      </c>
      <c r="T152">
        <f>D152:D338/Table1[Deaths]</f>
        <v>15.642857142857142</v>
      </c>
    </row>
    <row r="153" spans="1:20" x14ac:dyDescent="0.25">
      <c r="A153" t="s">
        <v>185</v>
      </c>
      <c r="B153">
        <v>674</v>
      </c>
      <c r="C153">
        <v>40</v>
      </c>
      <c r="D153">
        <v>0</v>
      </c>
      <c r="E153">
        <v>634</v>
      </c>
      <c r="F153">
        <v>24</v>
      </c>
      <c r="G153">
        <v>2</v>
      </c>
      <c r="H153">
        <v>0</v>
      </c>
      <c r="I153">
        <v>5.93</v>
      </c>
      <c r="J153">
        <v>0</v>
      </c>
      <c r="K153" t="s">
        <v>54</v>
      </c>
      <c r="L153">
        <v>522</v>
      </c>
      <c r="M153">
        <v>152</v>
      </c>
      <c r="N153">
        <v>29.12</v>
      </c>
      <c r="O153" t="s">
        <v>16</v>
      </c>
      <c r="P153">
        <f>Table1[Active]/Table1[Confirmed]*100</f>
        <v>94.065281899109792</v>
      </c>
      <c r="Q153">
        <f>Table1[New_cases]/Table1[Confirmed_last_week]*100</f>
        <v>4.5977011494252871</v>
      </c>
      <c r="R153">
        <f>Table1[Confirmed]-Table1[Recovered]</f>
        <v>674</v>
      </c>
      <c r="S153">
        <f>Table1[Deaths]/Table1[Confirmed]*100</f>
        <v>5.9347181008902083</v>
      </c>
      <c r="T153">
        <f>D153:D339/Table1[Deaths]</f>
        <v>0</v>
      </c>
    </row>
    <row r="154" spans="1:20" x14ac:dyDescent="0.25">
      <c r="A154" t="s">
        <v>188</v>
      </c>
      <c r="B154">
        <v>509</v>
      </c>
      <c r="C154">
        <v>21</v>
      </c>
      <c r="D154">
        <v>183</v>
      </c>
      <c r="E154">
        <v>305</v>
      </c>
      <c r="F154">
        <v>0</v>
      </c>
      <c r="G154">
        <v>0</v>
      </c>
      <c r="H154">
        <v>0</v>
      </c>
      <c r="I154">
        <v>4.13</v>
      </c>
      <c r="J154">
        <v>35.950000000000003</v>
      </c>
      <c r="K154">
        <v>11.48</v>
      </c>
      <c r="L154">
        <v>509</v>
      </c>
      <c r="M154">
        <v>0</v>
      </c>
      <c r="N154">
        <v>0</v>
      </c>
      <c r="O154" t="s">
        <v>20</v>
      </c>
      <c r="P154">
        <f>Table1[Active]/Table1[Confirmed]*100</f>
        <v>59.921414538310415</v>
      </c>
      <c r="Q154">
        <f>Table1[New_cases]/Table1[Confirmed_last_week]*100</f>
        <v>0</v>
      </c>
      <c r="R154">
        <f>Table1[Confirmed]-Table1[Recovered]</f>
        <v>326</v>
      </c>
      <c r="S154">
        <f>Table1[Deaths]/Table1[Confirmed]*100</f>
        <v>4.1257367387033401</v>
      </c>
      <c r="T154">
        <f>D154:D340/Table1[Deaths]</f>
        <v>8.7142857142857135</v>
      </c>
    </row>
    <row r="155" spans="1:20" x14ac:dyDescent="0.25">
      <c r="A155" t="s">
        <v>119</v>
      </c>
      <c r="B155">
        <v>505</v>
      </c>
      <c r="C155">
        <v>12</v>
      </c>
      <c r="D155">
        <v>128</v>
      </c>
      <c r="E155">
        <v>365</v>
      </c>
      <c r="F155">
        <v>0</v>
      </c>
      <c r="G155">
        <v>0</v>
      </c>
      <c r="H155">
        <v>0</v>
      </c>
      <c r="I155">
        <v>2.38</v>
      </c>
      <c r="J155">
        <v>25.35</v>
      </c>
      <c r="K155">
        <v>9.3800000000000008</v>
      </c>
      <c r="L155">
        <v>359</v>
      </c>
      <c r="M155">
        <v>146</v>
      </c>
      <c r="N155">
        <v>40.67</v>
      </c>
      <c r="O155" t="s">
        <v>20</v>
      </c>
      <c r="P155">
        <f>Table1[Active]/Table1[Confirmed]*100</f>
        <v>72.277227722772281</v>
      </c>
      <c r="Q155">
        <f>Table1[New_cases]/Table1[Confirmed_last_week]*100</f>
        <v>0</v>
      </c>
      <c r="R155">
        <f>Table1[Confirmed]-Table1[Recovered]</f>
        <v>377</v>
      </c>
      <c r="S155">
        <f>Table1[Deaths]/Table1[Confirmed]*100</f>
        <v>2.3762376237623761</v>
      </c>
      <c r="T155">
        <f>D155:D341/Table1[Deaths]</f>
        <v>10.666666666666666</v>
      </c>
    </row>
    <row r="156" spans="1:20" x14ac:dyDescent="0.25">
      <c r="A156" t="s">
        <v>186</v>
      </c>
      <c r="B156">
        <v>462</v>
      </c>
      <c r="C156">
        <v>7</v>
      </c>
      <c r="D156">
        <v>440</v>
      </c>
      <c r="E156">
        <v>15</v>
      </c>
      <c r="F156">
        <v>4</v>
      </c>
      <c r="G156">
        <v>0</v>
      </c>
      <c r="H156">
        <v>0</v>
      </c>
      <c r="I156">
        <v>1.52</v>
      </c>
      <c r="J156">
        <v>95.24</v>
      </c>
      <c r="K156">
        <v>1.59</v>
      </c>
      <c r="L156">
        <v>451</v>
      </c>
      <c r="M156">
        <v>11</v>
      </c>
      <c r="N156">
        <v>2.44</v>
      </c>
      <c r="O156" t="s">
        <v>28</v>
      </c>
      <c r="P156">
        <f>Table1[Active]/Table1[Confirmed]*100</f>
        <v>3.2467532467532463</v>
      </c>
      <c r="Q156">
        <f>Table1[New_cases]/Table1[Confirmed_last_week]*100</f>
        <v>0.88691796008869184</v>
      </c>
      <c r="R156">
        <f>Table1[Confirmed]-Table1[Recovered]</f>
        <v>22</v>
      </c>
      <c r="S156">
        <f>Table1[Deaths]/Table1[Confirmed]*100</f>
        <v>1.5151515151515151</v>
      </c>
      <c r="T156">
        <f>D156:D342/Table1[Deaths]</f>
        <v>62.857142857142854</v>
      </c>
    </row>
    <row r="157" spans="1:20" x14ac:dyDescent="0.25">
      <c r="A157" t="s">
        <v>203</v>
      </c>
      <c r="B157">
        <v>431</v>
      </c>
      <c r="C157">
        <v>0</v>
      </c>
      <c r="D157">
        <v>365</v>
      </c>
      <c r="E157">
        <v>66</v>
      </c>
      <c r="F157">
        <v>11</v>
      </c>
      <c r="G157">
        <v>0</v>
      </c>
      <c r="H157">
        <v>0</v>
      </c>
      <c r="I157">
        <v>0</v>
      </c>
      <c r="J157">
        <v>84.69</v>
      </c>
      <c r="K157">
        <v>0</v>
      </c>
      <c r="L157">
        <v>384</v>
      </c>
      <c r="M157">
        <v>47</v>
      </c>
      <c r="N157">
        <v>12.24</v>
      </c>
      <c r="O157" t="s">
        <v>28</v>
      </c>
      <c r="P157">
        <f>Table1[Active]/Table1[Confirmed]*100</f>
        <v>15.31322505800464</v>
      </c>
      <c r="Q157">
        <f>Table1[New_cases]/Table1[Confirmed_last_week]*100</f>
        <v>2.864583333333333</v>
      </c>
      <c r="R157">
        <f>Table1[Confirmed]-Table1[Recovered]</f>
        <v>66</v>
      </c>
      <c r="S157">
        <f>Table1[Deaths]/Table1[Confirmed]*100</f>
        <v>0</v>
      </c>
      <c r="T157" t="e">
        <f>D157:D343/Table1[Deaths]</f>
        <v>#DIV/0!</v>
      </c>
    </row>
    <row r="158" spans="1:20" x14ac:dyDescent="0.25">
      <c r="A158" t="s">
        <v>95</v>
      </c>
      <c r="B158">
        <v>389</v>
      </c>
      <c r="C158">
        <v>20</v>
      </c>
      <c r="D158">
        <v>181</v>
      </c>
      <c r="E158">
        <v>188</v>
      </c>
      <c r="F158">
        <v>19</v>
      </c>
      <c r="G158">
        <v>0</v>
      </c>
      <c r="H158">
        <v>0</v>
      </c>
      <c r="I158">
        <v>5.14</v>
      </c>
      <c r="J158">
        <v>46.53</v>
      </c>
      <c r="K158">
        <v>11.05</v>
      </c>
      <c r="L158">
        <v>337</v>
      </c>
      <c r="M158">
        <v>52</v>
      </c>
      <c r="N158">
        <v>15.43</v>
      </c>
      <c r="O158" t="s">
        <v>24</v>
      </c>
      <c r="P158">
        <f>Table1[Active]/Table1[Confirmed]*100</f>
        <v>48.329048843187664</v>
      </c>
      <c r="Q158">
        <f>Table1[New_cases]/Table1[Confirmed_last_week]*100</f>
        <v>5.637982195845697</v>
      </c>
      <c r="R158">
        <f>Table1[Confirmed]-Table1[Recovered]</f>
        <v>208</v>
      </c>
      <c r="S158">
        <f>Table1[Deaths]/Table1[Confirmed]*100</f>
        <v>5.1413881748071981</v>
      </c>
      <c r="T158">
        <f>D158:D344/Table1[Deaths]</f>
        <v>9.0500000000000007</v>
      </c>
    </row>
    <row r="159" spans="1:20" x14ac:dyDescent="0.25">
      <c r="A159" t="s">
        <v>31</v>
      </c>
      <c r="B159">
        <v>382</v>
      </c>
      <c r="C159">
        <v>11</v>
      </c>
      <c r="D159">
        <v>91</v>
      </c>
      <c r="E159">
        <v>280</v>
      </c>
      <c r="F159">
        <v>40</v>
      </c>
      <c r="G159">
        <v>0</v>
      </c>
      <c r="H159">
        <v>0</v>
      </c>
      <c r="I159">
        <v>2.88</v>
      </c>
      <c r="J159">
        <v>23.82</v>
      </c>
      <c r="K159">
        <v>12.09</v>
      </c>
      <c r="L159">
        <v>174</v>
      </c>
      <c r="M159">
        <v>208</v>
      </c>
      <c r="N159">
        <v>119.54</v>
      </c>
      <c r="O159" t="s">
        <v>24</v>
      </c>
      <c r="P159">
        <f>Table1[Active]/Table1[Confirmed]*100</f>
        <v>73.298429319371721</v>
      </c>
      <c r="Q159">
        <f>Table1[New_cases]/Table1[Confirmed_last_week]*100</f>
        <v>22.988505747126435</v>
      </c>
      <c r="R159">
        <f>Table1[Confirmed]-Table1[Recovered]</f>
        <v>291</v>
      </c>
      <c r="S159">
        <f>Table1[Deaths]/Table1[Confirmed]*100</f>
        <v>2.8795811518324608</v>
      </c>
      <c r="T159">
        <f>D159:D345/Table1[Deaths]</f>
        <v>8.2727272727272734</v>
      </c>
    </row>
    <row r="160" spans="1:20" x14ac:dyDescent="0.25">
      <c r="A160" t="s">
        <v>49</v>
      </c>
      <c r="B160">
        <v>378</v>
      </c>
      <c r="C160">
        <v>1</v>
      </c>
      <c r="D160">
        <v>301</v>
      </c>
      <c r="E160">
        <v>76</v>
      </c>
      <c r="F160">
        <v>17</v>
      </c>
      <c r="G160">
        <v>0</v>
      </c>
      <c r="H160">
        <v>22</v>
      </c>
      <c r="I160">
        <v>0.26</v>
      </c>
      <c r="J160">
        <v>79.63</v>
      </c>
      <c r="K160">
        <v>0.33</v>
      </c>
      <c r="L160">
        <v>322</v>
      </c>
      <c r="M160">
        <v>56</v>
      </c>
      <c r="N160">
        <v>17.39</v>
      </c>
      <c r="O160" t="s">
        <v>20</v>
      </c>
      <c r="P160">
        <f>Table1[Active]/Table1[Confirmed]*100</f>
        <v>20.105820105820104</v>
      </c>
      <c r="Q160">
        <f>Table1[New_cases]/Table1[Confirmed_last_week]*100</f>
        <v>5.2795031055900621</v>
      </c>
      <c r="R160">
        <f>Table1[Confirmed]-Table1[Recovered]</f>
        <v>77</v>
      </c>
      <c r="S160">
        <f>Table1[Deaths]/Table1[Confirmed]*100</f>
        <v>0.26455026455026454</v>
      </c>
      <c r="T160">
        <f>D160:D346/Table1[Deaths]</f>
        <v>301</v>
      </c>
    </row>
    <row r="161" spans="1:20" x14ac:dyDescent="0.25">
      <c r="A161" t="s">
        <v>60</v>
      </c>
      <c r="B161">
        <v>354</v>
      </c>
      <c r="C161">
        <v>7</v>
      </c>
      <c r="D161">
        <v>328</v>
      </c>
      <c r="E161">
        <v>19</v>
      </c>
      <c r="F161">
        <v>0</v>
      </c>
      <c r="G161">
        <v>0</v>
      </c>
      <c r="H161">
        <v>0</v>
      </c>
      <c r="I161">
        <v>1.98</v>
      </c>
      <c r="J161">
        <v>92.66</v>
      </c>
      <c r="K161">
        <v>2.13</v>
      </c>
      <c r="L161">
        <v>334</v>
      </c>
      <c r="M161">
        <v>20</v>
      </c>
      <c r="N161">
        <v>5.99</v>
      </c>
      <c r="O161" t="s">
        <v>20</v>
      </c>
      <c r="P161">
        <f>Table1[Active]/Table1[Confirmed]*100</f>
        <v>5.3672316384180787</v>
      </c>
      <c r="Q161">
        <f>Table1[New_cases]/Table1[Confirmed_last_week]*100</f>
        <v>0</v>
      </c>
      <c r="R161">
        <f>Table1[Confirmed]-Table1[Recovered]</f>
        <v>26</v>
      </c>
      <c r="S161">
        <f>Table1[Deaths]/Table1[Confirmed]*100</f>
        <v>1.977401129943503</v>
      </c>
      <c r="T161">
        <f>D161:D347/Table1[Deaths]</f>
        <v>46.857142857142854</v>
      </c>
    </row>
    <row r="162" spans="1:20" x14ac:dyDescent="0.25">
      <c r="A162" t="s">
        <v>48</v>
      </c>
      <c r="B162">
        <v>350</v>
      </c>
      <c r="C162">
        <v>6</v>
      </c>
      <c r="D162">
        <v>292</v>
      </c>
      <c r="E162">
        <v>52</v>
      </c>
      <c r="F162">
        <v>0</v>
      </c>
      <c r="G162">
        <v>0</v>
      </c>
      <c r="H162">
        <v>2</v>
      </c>
      <c r="I162">
        <v>1.71</v>
      </c>
      <c r="J162">
        <v>83.43</v>
      </c>
      <c r="K162">
        <v>2.0499999999999998</v>
      </c>
      <c r="L162">
        <v>341</v>
      </c>
      <c r="M162">
        <v>9</v>
      </c>
      <c r="N162">
        <v>2.64</v>
      </c>
      <c r="O162" t="s">
        <v>34</v>
      </c>
      <c r="P162">
        <f>Table1[Active]/Table1[Confirmed]*100</f>
        <v>14.857142857142858</v>
      </c>
      <c r="Q162">
        <f>Table1[New_cases]/Table1[Confirmed_last_week]*100</f>
        <v>0</v>
      </c>
      <c r="R162">
        <f>Table1[Confirmed]-Table1[Recovered]</f>
        <v>58</v>
      </c>
      <c r="S162">
        <f>Table1[Deaths]/Table1[Confirmed]*100</f>
        <v>1.7142857142857144</v>
      </c>
      <c r="T162">
        <f>D162:D348/Table1[Deaths]</f>
        <v>48.666666666666664</v>
      </c>
    </row>
    <row r="163" spans="1:20" x14ac:dyDescent="0.25">
      <c r="A163" t="s">
        <v>132</v>
      </c>
      <c r="B163">
        <v>344</v>
      </c>
      <c r="C163">
        <v>10</v>
      </c>
      <c r="D163">
        <v>332</v>
      </c>
      <c r="E163">
        <v>2</v>
      </c>
      <c r="F163">
        <v>0</v>
      </c>
      <c r="G163">
        <v>0</v>
      </c>
      <c r="H163">
        <v>0</v>
      </c>
      <c r="I163">
        <v>2.91</v>
      </c>
      <c r="J163">
        <v>96.51</v>
      </c>
      <c r="K163">
        <v>3.01</v>
      </c>
      <c r="L163">
        <v>343</v>
      </c>
      <c r="M163">
        <v>1</v>
      </c>
      <c r="N163">
        <v>0.28999999999999998</v>
      </c>
      <c r="O163" t="s">
        <v>20</v>
      </c>
      <c r="P163">
        <f>Table1[Active]/Table1[Confirmed]*100</f>
        <v>0.58139534883720934</v>
      </c>
      <c r="Q163">
        <f>Table1[New_cases]/Table1[Confirmed_last_week]*100</f>
        <v>0</v>
      </c>
      <c r="R163">
        <f>Table1[Confirmed]-Table1[Recovered]</f>
        <v>12</v>
      </c>
      <c r="S163">
        <f>Table1[Deaths]/Table1[Confirmed]*100</f>
        <v>2.9069767441860463</v>
      </c>
      <c r="T163">
        <f>D163:D349/Table1[Deaths]</f>
        <v>33.200000000000003</v>
      </c>
    </row>
    <row r="164" spans="1:20" x14ac:dyDescent="0.25">
      <c r="A164" t="s">
        <v>85</v>
      </c>
      <c r="B164">
        <v>326</v>
      </c>
      <c r="C164">
        <v>8</v>
      </c>
      <c r="D164">
        <v>66</v>
      </c>
      <c r="E164">
        <v>252</v>
      </c>
      <c r="F164">
        <v>49</v>
      </c>
      <c r="G164">
        <v>2</v>
      </c>
      <c r="H164">
        <v>6</v>
      </c>
      <c r="I164">
        <v>2.4500000000000002</v>
      </c>
      <c r="J164">
        <v>20.25</v>
      </c>
      <c r="K164">
        <v>12.12</v>
      </c>
      <c r="L164">
        <v>112</v>
      </c>
      <c r="M164">
        <v>214</v>
      </c>
      <c r="N164">
        <v>191.07</v>
      </c>
      <c r="O164" t="s">
        <v>20</v>
      </c>
      <c r="P164">
        <f>Table1[Active]/Table1[Confirmed]*100</f>
        <v>77.300613496932513</v>
      </c>
      <c r="Q164">
        <f>Table1[New_cases]/Table1[Confirmed_last_week]*100</f>
        <v>43.75</v>
      </c>
      <c r="R164">
        <f>Table1[Confirmed]-Table1[Recovered]</f>
        <v>260</v>
      </c>
      <c r="S164">
        <f>Table1[Deaths]/Table1[Confirmed]*100</f>
        <v>2.4539877300613497</v>
      </c>
      <c r="T164">
        <f>D164:D350/Table1[Deaths]</f>
        <v>8.25</v>
      </c>
    </row>
    <row r="165" spans="1:20" x14ac:dyDescent="0.25">
      <c r="A165" t="s">
        <v>136</v>
      </c>
      <c r="B165">
        <v>289</v>
      </c>
      <c r="C165">
        <v>0</v>
      </c>
      <c r="D165">
        <v>222</v>
      </c>
      <c r="E165">
        <v>67</v>
      </c>
      <c r="F165">
        <v>1</v>
      </c>
      <c r="G165">
        <v>0</v>
      </c>
      <c r="H165">
        <v>4</v>
      </c>
      <c r="I165">
        <v>0</v>
      </c>
      <c r="J165">
        <v>76.819999999999993</v>
      </c>
      <c r="K165">
        <v>0</v>
      </c>
      <c r="L165">
        <v>287</v>
      </c>
      <c r="M165">
        <v>2</v>
      </c>
      <c r="N165">
        <v>0.7</v>
      </c>
      <c r="O165" t="s">
        <v>28</v>
      </c>
      <c r="P165">
        <f>Table1[Active]/Table1[Confirmed]*100</f>
        <v>23.183391003460208</v>
      </c>
      <c r="Q165">
        <f>Table1[New_cases]/Table1[Confirmed_last_week]*100</f>
        <v>0.34843205574912894</v>
      </c>
      <c r="R165">
        <f>Table1[Confirmed]-Table1[Recovered]</f>
        <v>67</v>
      </c>
      <c r="S165">
        <f>Table1[Deaths]/Table1[Confirmed]*100</f>
        <v>0</v>
      </c>
      <c r="T165" t="e">
        <f>D165:D351/Table1[Deaths]</f>
        <v>#DIV/0!</v>
      </c>
    </row>
    <row r="166" spans="1:20" x14ac:dyDescent="0.25">
      <c r="A166" t="s">
        <v>77</v>
      </c>
      <c r="B166">
        <v>265</v>
      </c>
      <c r="C166">
        <v>0</v>
      </c>
      <c r="D166">
        <v>191</v>
      </c>
      <c r="E166">
        <v>74</v>
      </c>
      <c r="F166">
        <v>2</v>
      </c>
      <c r="G166">
        <v>0</v>
      </c>
      <c r="H166">
        <v>2</v>
      </c>
      <c r="I166">
        <v>0</v>
      </c>
      <c r="J166">
        <v>72.08</v>
      </c>
      <c r="K166">
        <v>0</v>
      </c>
      <c r="L166">
        <v>251</v>
      </c>
      <c r="M166">
        <v>14</v>
      </c>
      <c r="N166">
        <v>5.58</v>
      </c>
      <c r="O166" t="s">
        <v>20</v>
      </c>
      <c r="P166">
        <f>Table1[Active]/Table1[Confirmed]*100</f>
        <v>27.924528301886792</v>
      </c>
      <c r="Q166">
        <f>Table1[New_cases]/Table1[Confirmed_last_week]*100</f>
        <v>0.79681274900398402</v>
      </c>
      <c r="R166">
        <f>Table1[Confirmed]-Table1[Recovered]</f>
        <v>74</v>
      </c>
      <c r="S166">
        <f>Table1[Deaths]/Table1[Confirmed]*100</f>
        <v>0</v>
      </c>
      <c r="T166" t="e">
        <f>D166:D352/Table1[Deaths]</f>
        <v>#DIV/0!</v>
      </c>
    </row>
    <row r="167" spans="1:20" x14ac:dyDescent="0.25">
      <c r="A167" t="s">
        <v>51</v>
      </c>
      <c r="B167">
        <v>226</v>
      </c>
      <c r="C167">
        <v>0</v>
      </c>
      <c r="D167">
        <v>147</v>
      </c>
      <c r="E167">
        <v>79</v>
      </c>
      <c r="F167">
        <v>1</v>
      </c>
      <c r="G167">
        <v>0</v>
      </c>
      <c r="H167">
        <v>4</v>
      </c>
      <c r="I167">
        <v>0</v>
      </c>
      <c r="J167">
        <v>65.040000000000006</v>
      </c>
      <c r="K167">
        <v>0</v>
      </c>
      <c r="L167">
        <v>171</v>
      </c>
      <c r="M167">
        <v>55</v>
      </c>
      <c r="N167">
        <v>32.159999999999997</v>
      </c>
      <c r="O167" t="s">
        <v>28</v>
      </c>
      <c r="P167">
        <f>Table1[Active]/Table1[Confirmed]*100</f>
        <v>34.955752212389378</v>
      </c>
      <c r="Q167">
        <f>Table1[New_cases]/Table1[Confirmed_last_week]*100</f>
        <v>0.58479532163742687</v>
      </c>
      <c r="R167">
        <f>Table1[Confirmed]-Table1[Recovered]</f>
        <v>79</v>
      </c>
      <c r="S167">
        <f>Table1[Deaths]/Table1[Confirmed]*100</f>
        <v>0</v>
      </c>
      <c r="T167" t="e">
        <f>D167:D353/Table1[Deaths]</f>
        <v>#DIV/0!</v>
      </c>
    </row>
    <row r="168" spans="1:20" x14ac:dyDescent="0.25">
      <c r="A168" t="s">
        <v>192</v>
      </c>
      <c r="B168">
        <v>148</v>
      </c>
      <c r="C168">
        <v>8</v>
      </c>
      <c r="D168">
        <v>128</v>
      </c>
      <c r="E168">
        <v>12</v>
      </c>
      <c r="F168">
        <v>1</v>
      </c>
      <c r="G168">
        <v>0</v>
      </c>
      <c r="H168">
        <v>0</v>
      </c>
      <c r="I168">
        <v>5.41</v>
      </c>
      <c r="J168">
        <v>86.49</v>
      </c>
      <c r="K168">
        <v>6.25</v>
      </c>
      <c r="L168">
        <v>137</v>
      </c>
      <c r="M168">
        <v>11</v>
      </c>
      <c r="N168">
        <v>8.0299999999999994</v>
      </c>
      <c r="O168" t="s">
        <v>24</v>
      </c>
      <c r="P168">
        <f>Table1[Active]/Table1[Confirmed]*100</f>
        <v>8.1081081081081088</v>
      </c>
      <c r="Q168">
        <f>Table1[New_cases]/Table1[Confirmed_last_week]*100</f>
        <v>0.72992700729927007</v>
      </c>
      <c r="R168">
        <f>Table1[Confirmed]-Table1[Recovered]</f>
        <v>20</v>
      </c>
      <c r="S168">
        <f>Table1[Deaths]/Table1[Confirmed]*100</f>
        <v>5.4054054054054053</v>
      </c>
      <c r="T168">
        <f>D168:D354/Table1[Deaths]</f>
        <v>16</v>
      </c>
    </row>
    <row r="169" spans="1:20" x14ac:dyDescent="0.25">
      <c r="A169" t="s">
        <v>45</v>
      </c>
      <c r="B169">
        <v>141</v>
      </c>
      <c r="C169">
        <v>3</v>
      </c>
      <c r="D169">
        <v>138</v>
      </c>
      <c r="E169">
        <v>0</v>
      </c>
      <c r="F169">
        <v>0</v>
      </c>
      <c r="G169">
        <v>0</v>
      </c>
      <c r="H169">
        <v>0</v>
      </c>
      <c r="I169">
        <v>2.13</v>
      </c>
      <c r="J169">
        <v>97.87</v>
      </c>
      <c r="K169">
        <v>2.17</v>
      </c>
      <c r="L169">
        <v>141</v>
      </c>
      <c r="M169">
        <v>0</v>
      </c>
      <c r="N169">
        <v>0</v>
      </c>
      <c r="O169" t="s">
        <v>28</v>
      </c>
      <c r="P169">
        <f>Table1[Active]/Table1[Confirmed]*100</f>
        <v>0</v>
      </c>
      <c r="Q169">
        <f>Table1[New_cases]/Table1[Confirmed_last_week]*100</f>
        <v>0</v>
      </c>
      <c r="R169">
        <f>Table1[Confirmed]-Table1[Recovered]</f>
        <v>3</v>
      </c>
      <c r="S169">
        <f>Table1[Deaths]/Table1[Confirmed]*100</f>
        <v>2.1276595744680851</v>
      </c>
      <c r="T169">
        <f>D169:D355/Table1[Deaths]</f>
        <v>46</v>
      </c>
    </row>
    <row r="170" spans="1:20" x14ac:dyDescent="0.25">
      <c r="A170" t="s">
        <v>135</v>
      </c>
      <c r="B170">
        <v>116</v>
      </c>
      <c r="C170">
        <v>4</v>
      </c>
      <c r="D170">
        <v>104</v>
      </c>
      <c r="E170">
        <v>8</v>
      </c>
      <c r="F170">
        <v>0</v>
      </c>
      <c r="G170">
        <v>0</v>
      </c>
      <c r="H170">
        <v>0</v>
      </c>
      <c r="I170">
        <v>3.45</v>
      </c>
      <c r="J170">
        <v>89.66</v>
      </c>
      <c r="K170">
        <v>3.85</v>
      </c>
      <c r="L170">
        <v>109</v>
      </c>
      <c r="M170">
        <v>7</v>
      </c>
      <c r="N170">
        <v>6.42</v>
      </c>
      <c r="O170" t="s">
        <v>18</v>
      </c>
      <c r="P170">
        <f>Table1[Active]/Table1[Confirmed]*100</f>
        <v>6.8965517241379306</v>
      </c>
      <c r="Q170">
        <f>Table1[New_cases]/Table1[Confirmed_last_week]*100</f>
        <v>0</v>
      </c>
      <c r="R170">
        <f>Table1[Confirmed]-Table1[Recovered]</f>
        <v>12</v>
      </c>
      <c r="S170">
        <f>Table1[Deaths]/Table1[Confirmed]*100</f>
        <v>3.4482758620689653</v>
      </c>
      <c r="T170">
        <f>D170:D356/Table1[Deaths]</f>
        <v>26</v>
      </c>
    </row>
    <row r="171" spans="1:20" x14ac:dyDescent="0.25">
      <c r="A171" t="s">
        <v>170</v>
      </c>
      <c r="B171">
        <v>114</v>
      </c>
      <c r="C171">
        <v>0</v>
      </c>
      <c r="D171">
        <v>39</v>
      </c>
      <c r="E171">
        <v>75</v>
      </c>
      <c r="F171">
        <v>0</v>
      </c>
      <c r="G171">
        <v>0</v>
      </c>
      <c r="H171">
        <v>0</v>
      </c>
      <c r="I171">
        <v>0</v>
      </c>
      <c r="J171">
        <v>34.21</v>
      </c>
      <c r="K171">
        <v>0</v>
      </c>
      <c r="L171">
        <v>108</v>
      </c>
      <c r="M171">
        <v>6</v>
      </c>
      <c r="N171">
        <v>5.56</v>
      </c>
      <c r="O171" t="s">
        <v>20</v>
      </c>
      <c r="P171">
        <f>Table1[Active]/Table1[Confirmed]*100</f>
        <v>65.789473684210535</v>
      </c>
      <c r="Q171">
        <f>Table1[New_cases]/Table1[Confirmed_last_week]*100</f>
        <v>0</v>
      </c>
      <c r="R171">
        <f>Table1[Confirmed]-Table1[Recovered]</f>
        <v>75</v>
      </c>
      <c r="S171">
        <f>Table1[Deaths]/Table1[Confirmed]*100</f>
        <v>0</v>
      </c>
      <c r="T171" t="e">
        <f>D171:D357/Table1[Deaths]</f>
        <v>#DIV/0!</v>
      </c>
    </row>
    <row r="172" spans="1:20" x14ac:dyDescent="0.25">
      <c r="A172" t="s">
        <v>35</v>
      </c>
      <c r="B172">
        <v>110</v>
      </c>
      <c r="C172">
        <v>7</v>
      </c>
      <c r="D172">
        <v>94</v>
      </c>
      <c r="E172">
        <v>9</v>
      </c>
      <c r="F172">
        <v>0</v>
      </c>
      <c r="G172">
        <v>0</v>
      </c>
      <c r="H172">
        <v>0</v>
      </c>
      <c r="I172">
        <v>6.36</v>
      </c>
      <c r="J172">
        <v>85.45</v>
      </c>
      <c r="K172">
        <v>7.45</v>
      </c>
      <c r="L172">
        <v>106</v>
      </c>
      <c r="M172">
        <v>4</v>
      </c>
      <c r="N172">
        <v>3.77</v>
      </c>
      <c r="O172" t="s">
        <v>24</v>
      </c>
      <c r="P172">
        <f>Table1[Active]/Table1[Confirmed]*100</f>
        <v>8.1818181818181817</v>
      </c>
      <c r="Q172">
        <f>Table1[New_cases]/Table1[Confirmed_last_week]*100</f>
        <v>0</v>
      </c>
      <c r="R172">
        <f>Table1[Confirmed]-Table1[Recovered]</f>
        <v>16</v>
      </c>
      <c r="S172">
        <f>Table1[Deaths]/Table1[Confirmed]*100</f>
        <v>6.3636363636363633</v>
      </c>
      <c r="T172">
        <f>D172:D358/Table1[Deaths]</f>
        <v>13.428571428571429</v>
      </c>
    </row>
    <row r="173" spans="1:20" x14ac:dyDescent="0.25">
      <c r="A173" t="s">
        <v>40</v>
      </c>
      <c r="B173">
        <v>99</v>
      </c>
      <c r="C173">
        <v>0</v>
      </c>
      <c r="D173">
        <v>86</v>
      </c>
      <c r="E173">
        <v>13</v>
      </c>
      <c r="F173">
        <v>4</v>
      </c>
      <c r="G173">
        <v>0</v>
      </c>
      <c r="H173">
        <v>1</v>
      </c>
      <c r="I173">
        <v>0</v>
      </c>
      <c r="J173">
        <v>86.87</v>
      </c>
      <c r="K173">
        <v>0</v>
      </c>
      <c r="L173">
        <v>90</v>
      </c>
      <c r="M173">
        <v>9</v>
      </c>
      <c r="N173">
        <v>10</v>
      </c>
      <c r="O173" t="s">
        <v>34</v>
      </c>
      <c r="P173">
        <f>Table1[Active]/Table1[Confirmed]*100</f>
        <v>13.131313131313133</v>
      </c>
      <c r="Q173">
        <f>Table1[New_cases]/Table1[Confirmed_last_week]*100</f>
        <v>4.4444444444444446</v>
      </c>
      <c r="R173">
        <f>Table1[Confirmed]-Table1[Recovered]</f>
        <v>13</v>
      </c>
      <c r="S173">
        <f>Table1[Deaths]/Table1[Confirmed]*100</f>
        <v>0</v>
      </c>
      <c r="T173" t="e">
        <f>D173:D359/Table1[Deaths]</f>
        <v>#DIV/0!</v>
      </c>
    </row>
    <row r="174" spans="1:20" x14ac:dyDescent="0.25">
      <c r="A174" t="s">
        <v>23</v>
      </c>
      <c r="B174">
        <v>86</v>
      </c>
      <c r="C174">
        <v>3</v>
      </c>
      <c r="D174">
        <v>65</v>
      </c>
      <c r="E174">
        <v>18</v>
      </c>
      <c r="F174">
        <v>4</v>
      </c>
      <c r="G174">
        <v>0</v>
      </c>
      <c r="H174">
        <v>5</v>
      </c>
      <c r="I174">
        <v>3.49</v>
      </c>
      <c r="J174">
        <v>75.58</v>
      </c>
      <c r="K174">
        <v>4.62</v>
      </c>
      <c r="L174">
        <v>76</v>
      </c>
      <c r="M174">
        <v>10</v>
      </c>
      <c r="N174">
        <v>13.16</v>
      </c>
      <c r="O174" t="s">
        <v>24</v>
      </c>
      <c r="P174">
        <f>Table1[Active]/Table1[Confirmed]*100</f>
        <v>20.930232558139537</v>
      </c>
      <c r="Q174">
        <f>Table1[New_cases]/Table1[Confirmed_last_week]*100</f>
        <v>5.2631578947368416</v>
      </c>
      <c r="R174">
        <f>Table1[Confirmed]-Table1[Recovered]</f>
        <v>21</v>
      </c>
      <c r="S174">
        <f>Table1[Deaths]/Table1[Confirmed]*100</f>
        <v>3.4883720930232558</v>
      </c>
      <c r="T174">
        <f>D174:D360/Table1[Deaths]</f>
        <v>21.666666666666668</v>
      </c>
    </row>
    <row r="175" spans="1:20" x14ac:dyDescent="0.25">
      <c r="A175" t="s">
        <v>122</v>
      </c>
      <c r="B175">
        <v>86</v>
      </c>
      <c r="C175">
        <v>1</v>
      </c>
      <c r="D175">
        <v>81</v>
      </c>
      <c r="E175">
        <v>4</v>
      </c>
      <c r="F175">
        <v>0</v>
      </c>
      <c r="G175">
        <v>0</v>
      </c>
      <c r="H175">
        <v>0</v>
      </c>
      <c r="I175">
        <v>1.1599999999999999</v>
      </c>
      <c r="J175">
        <v>94.19</v>
      </c>
      <c r="K175">
        <v>1.23</v>
      </c>
      <c r="L175">
        <v>86</v>
      </c>
      <c r="M175">
        <v>0</v>
      </c>
      <c r="N175">
        <v>0</v>
      </c>
      <c r="O175" t="s">
        <v>18</v>
      </c>
      <c r="P175">
        <f>Table1[Active]/Table1[Confirmed]*100</f>
        <v>4.6511627906976747</v>
      </c>
      <c r="Q175">
        <f>Table1[New_cases]/Table1[Confirmed_last_week]*100</f>
        <v>0</v>
      </c>
      <c r="R175">
        <f>Table1[Confirmed]-Table1[Recovered]</f>
        <v>5</v>
      </c>
      <c r="S175">
        <f>Table1[Deaths]/Table1[Confirmed]*100</f>
        <v>1.1627906976744187</v>
      </c>
      <c r="T175">
        <f>D175:D361/Table1[Deaths]</f>
        <v>81</v>
      </c>
    </row>
    <row r="176" spans="1:20" x14ac:dyDescent="0.25">
      <c r="A176" t="s">
        <v>152</v>
      </c>
      <c r="B176">
        <v>62</v>
      </c>
      <c r="C176">
        <v>0</v>
      </c>
      <c r="D176">
        <v>11</v>
      </c>
      <c r="E176">
        <v>51</v>
      </c>
      <c r="F176">
        <v>0</v>
      </c>
      <c r="G176">
        <v>0</v>
      </c>
      <c r="H176">
        <v>0</v>
      </c>
      <c r="I176">
        <v>0</v>
      </c>
      <c r="J176">
        <v>17.739999999999998</v>
      </c>
      <c r="K176">
        <v>0</v>
      </c>
      <c r="L176">
        <v>19</v>
      </c>
      <c r="M176">
        <v>43</v>
      </c>
      <c r="N176">
        <v>226.32</v>
      </c>
      <c r="O176" t="s">
        <v>28</v>
      </c>
      <c r="P176">
        <f>Table1[Active]/Table1[Confirmed]*100</f>
        <v>82.258064516129039</v>
      </c>
      <c r="Q176">
        <f>Table1[New_cases]/Table1[Confirmed_last_week]*100</f>
        <v>0</v>
      </c>
      <c r="R176">
        <f>Table1[Confirmed]-Table1[Recovered]</f>
        <v>51</v>
      </c>
      <c r="S176">
        <f>Table1[Deaths]/Table1[Confirmed]*100</f>
        <v>0</v>
      </c>
      <c r="T176" t="e">
        <f>D176:D362/Table1[Deaths]</f>
        <v>#DIV/0!</v>
      </c>
    </row>
    <row r="177" spans="1:20" x14ac:dyDescent="0.25">
      <c r="A177" t="s">
        <v>164</v>
      </c>
      <c r="B177">
        <v>52</v>
      </c>
      <c r="C177">
        <v>0</v>
      </c>
      <c r="D177">
        <v>39</v>
      </c>
      <c r="E177">
        <v>13</v>
      </c>
      <c r="F177">
        <v>0</v>
      </c>
      <c r="G177">
        <v>0</v>
      </c>
      <c r="H177">
        <v>0</v>
      </c>
      <c r="I177">
        <v>0</v>
      </c>
      <c r="J177">
        <v>75</v>
      </c>
      <c r="K177">
        <v>0</v>
      </c>
      <c r="L177">
        <v>50</v>
      </c>
      <c r="M177">
        <v>2</v>
      </c>
      <c r="N177">
        <v>4</v>
      </c>
      <c r="O177" t="s">
        <v>24</v>
      </c>
      <c r="P177">
        <f>Table1[Active]/Table1[Confirmed]*100</f>
        <v>25</v>
      </c>
      <c r="Q177">
        <f>Table1[New_cases]/Table1[Confirmed_last_week]*100</f>
        <v>0</v>
      </c>
      <c r="R177">
        <f>Table1[Confirmed]-Table1[Recovered]</f>
        <v>13</v>
      </c>
      <c r="S177">
        <f>Table1[Deaths]/Table1[Confirmed]*100</f>
        <v>0</v>
      </c>
      <c r="T177" t="e">
        <f>D177:D363/Table1[Deaths]</f>
        <v>#DIV/0!</v>
      </c>
    </row>
    <row r="178" spans="1:20" x14ac:dyDescent="0.25">
      <c r="A178" t="s">
        <v>38</v>
      </c>
      <c r="B178">
        <v>48</v>
      </c>
      <c r="C178">
        <v>2</v>
      </c>
      <c r="D178">
        <v>26</v>
      </c>
      <c r="E178">
        <v>20</v>
      </c>
      <c r="F178">
        <v>0</v>
      </c>
      <c r="G178">
        <v>0</v>
      </c>
      <c r="H178">
        <v>0</v>
      </c>
      <c r="I178">
        <v>4.17</v>
      </c>
      <c r="J178">
        <v>54.17</v>
      </c>
      <c r="K178">
        <v>7.69</v>
      </c>
      <c r="L178">
        <v>40</v>
      </c>
      <c r="M178">
        <v>8</v>
      </c>
      <c r="N178">
        <v>20</v>
      </c>
      <c r="O178" t="s">
        <v>24</v>
      </c>
      <c r="P178">
        <f>Table1[Active]/Table1[Confirmed]*100</f>
        <v>41.666666666666671</v>
      </c>
      <c r="Q178">
        <f>Table1[New_cases]/Table1[Confirmed_last_week]*100</f>
        <v>0</v>
      </c>
      <c r="R178">
        <f>Table1[Confirmed]-Table1[Recovered]</f>
        <v>22</v>
      </c>
      <c r="S178">
        <f>Table1[Deaths]/Table1[Confirmed]*100</f>
        <v>4.1666666666666661</v>
      </c>
      <c r="T178">
        <f>D178:D364/Table1[Deaths]</f>
        <v>13</v>
      </c>
    </row>
    <row r="179" spans="1:20" x14ac:dyDescent="0.25">
      <c r="A179" t="s">
        <v>81</v>
      </c>
      <c r="B179">
        <v>27</v>
      </c>
      <c r="C179">
        <v>0</v>
      </c>
      <c r="D179">
        <v>18</v>
      </c>
      <c r="E179">
        <v>9</v>
      </c>
      <c r="F179">
        <v>0</v>
      </c>
      <c r="G179">
        <v>0</v>
      </c>
      <c r="H179">
        <v>0</v>
      </c>
      <c r="I179">
        <v>0</v>
      </c>
      <c r="J179">
        <v>66.67</v>
      </c>
      <c r="K179">
        <v>0</v>
      </c>
      <c r="L179">
        <v>27</v>
      </c>
      <c r="M179">
        <v>0</v>
      </c>
      <c r="N179">
        <v>0</v>
      </c>
      <c r="O179" t="s">
        <v>28</v>
      </c>
      <c r="P179">
        <f>Table1[Active]/Table1[Confirmed]*100</f>
        <v>33.333333333333329</v>
      </c>
      <c r="Q179">
        <f>Table1[New_cases]/Table1[Confirmed_last_week]*100</f>
        <v>0</v>
      </c>
      <c r="R179">
        <f>Table1[Confirmed]-Table1[Recovered]</f>
        <v>9</v>
      </c>
      <c r="S179">
        <f>Table1[Deaths]/Table1[Confirmed]*100</f>
        <v>0</v>
      </c>
      <c r="T179" t="e">
        <f>D179:D365/Table1[Deaths]</f>
        <v>#DIV/0!</v>
      </c>
    </row>
    <row r="180" spans="1:20" x14ac:dyDescent="0.25">
      <c r="A180" t="s">
        <v>163</v>
      </c>
      <c r="B180">
        <v>24</v>
      </c>
      <c r="C180">
        <v>0</v>
      </c>
      <c r="D180">
        <v>22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91.67</v>
      </c>
      <c r="K180">
        <v>0</v>
      </c>
      <c r="L180">
        <v>23</v>
      </c>
      <c r="M180">
        <v>1</v>
      </c>
      <c r="N180">
        <v>4.3499999999999996</v>
      </c>
      <c r="O180" t="s">
        <v>24</v>
      </c>
      <c r="P180">
        <f>Table1[Active]/Table1[Confirmed]*100</f>
        <v>8.3333333333333321</v>
      </c>
      <c r="Q180">
        <f>Table1[New_cases]/Table1[Confirmed_last_week]*100</f>
        <v>0</v>
      </c>
      <c r="R180">
        <f>Table1[Confirmed]-Table1[Recovered]</f>
        <v>2</v>
      </c>
      <c r="S180">
        <f>Table1[Deaths]/Table1[Confirmed]*100</f>
        <v>0</v>
      </c>
      <c r="T180" t="e">
        <f>D180:D366/Table1[Deaths]</f>
        <v>#DIV/0!</v>
      </c>
    </row>
    <row r="181" spans="1:20" x14ac:dyDescent="0.25">
      <c r="A181" t="s">
        <v>190</v>
      </c>
      <c r="B181">
        <v>24</v>
      </c>
      <c r="C181">
        <v>0</v>
      </c>
      <c r="D181">
        <v>0</v>
      </c>
      <c r="E181">
        <v>24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24</v>
      </c>
      <c r="M181">
        <v>0</v>
      </c>
      <c r="N181">
        <v>0</v>
      </c>
      <c r="O181" t="s">
        <v>34</v>
      </c>
      <c r="P181">
        <f>Table1[Active]/Table1[Confirmed]*100</f>
        <v>100</v>
      </c>
      <c r="Q181">
        <f>Table1[New_cases]/Table1[Confirmed_last_week]*100</f>
        <v>0</v>
      </c>
      <c r="R181">
        <f>Table1[Confirmed]-Table1[Recovered]</f>
        <v>24</v>
      </c>
      <c r="S181">
        <f>Table1[Deaths]/Table1[Confirmed]*100</f>
        <v>0</v>
      </c>
      <c r="T181" t="e">
        <f>D181:D367/Table1[Deaths]</f>
        <v>#DIV/0!</v>
      </c>
    </row>
    <row r="182" spans="1:20" x14ac:dyDescent="0.25">
      <c r="A182" t="s">
        <v>91</v>
      </c>
      <c r="B182">
        <v>23</v>
      </c>
      <c r="C182">
        <v>0</v>
      </c>
      <c r="D182">
        <v>23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100</v>
      </c>
      <c r="K182">
        <v>0</v>
      </c>
      <c r="L182">
        <v>23</v>
      </c>
      <c r="M182">
        <v>0</v>
      </c>
      <c r="N182">
        <v>0</v>
      </c>
      <c r="O182" t="s">
        <v>24</v>
      </c>
      <c r="P182">
        <f>Table1[Active]/Table1[Confirmed]*100</f>
        <v>0</v>
      </c>
      <c r="Q182">
        <f>Table1[New_cases]/Table1[Confirmed_last_week]*100</f>
        <v>0</v>
      </c>
      <c r="R182">
        <f>Table1[Confirmed]-Table1[Recovered]</f>
        <v>0</v>
      </c>
      <c r="S182">
        <f>Table1[Deaths]/Table1[Confirmed]*100</f>
        <v>0</v>
      </c>
      <c r="T182" t="e">
        <f>D182:D368/Table1[Deaths]</f>
        <v>#DIV/0!</v>
      </c>
    </row>
    <row r="183" spans="1:20" x14ac:dyDescent="0.25">
      <c r="A183" t="s">
        <v>116</v>
      </c>
      <c r="B183">
        <v>20</v>
      </c>
      <c r="C183">
        <v>0</v>
      </c>
      <c r="D183">
        <v>19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95</v>
      </c>
      <c r="K183">
        <v>0</v>
      </c>
      <c r="L183">
        <v>19</v>
      </c>
      <c r="M183">
        <v>1</v>
      </c>
      <c r="N183">
        <v>5.26</v>
      </c>
      <c r="O183" t="s">
        <v>28</v>
      </c>
      <c r="P183">
        <f>Table1[Active]/Table1[Confirmed]*100</f>
        <v>5</v>
      </c>
      <c r="Q183">
        <f>Table1[New_cases]/Table1[Confirmed_last_week]*100</f>
        <v>0</v>
      </c>
      <c r="R183">
        <f>Table1[Confirmed]-Table1[Recovered]</f>
        <v>1</v>
      </c>
      <c r="S183">
        <f>Table1[Deaths]/Table1[Confirmed]*100</f>
        <v>0</v>
      </c>
      <c r="T183" t="e">
        <f>D183:D369/Table1[Deaths]</f>
        <v>#DIV/0!</v>
      </c>
    </row>
    <row r="184" spans="1:20" x14ac:dyDescent="0.25">
      <c r="A184" t="s">
        <v>71</v>
      </c>
      <c r="B184">
        <v>18</v>
      </c>
      <c r="C184">
        <v>0</v>
      </c>
      <c r="D184">
        <v>18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100</v>
      </c>
      <c r="K184">
        <v>0</v>
      </c>
      <c r="L184">
        <v>18</v>
      </c>
      <c r="M184">
        <v>0</v>
      </c>
      <c r="N184">
        <v>0</v>
      </c>
      <c r="O184" t="s">
        <v>24</v>
      </c>
      <c r="P184">
        <f>Table1[Active]/Table1[Confirmed]*100</f>
        <v>0</v>
      </c>
      <c r="Q184">
        <f>Table1[New_cases]/Table1[Confirmed_last_week]*100</f>
        <v>0</v>
      </c>
      <c r="R184">
        <f>Table1[Confirmed]-Table1[Recovered]</f>
        <v>0</v>
      </c>
      <c r="S184">
        <f>Table1[Deaths]/Table1[Confirmed]*100</f>
        <v>0</v>
      </c>
      <c r="T184" t="e">
        <f>D184:D370/Table1[Deaths]</f>
        <v>#DIV/0!</v>
      </c>
    </row>
    <row r="185" spans="1:20" x14ac:dyDescent="0.25">
      <c r="A185" t="s">
        <v>162</v>
      </c>
      <c r="B185">
        <v>17</v>
      </c>
      <c r="C185">
        <v>0</v>
      </c>
      <c r="D185">
        <v>15</v>
      </c>
      <c r="E185">
        <v>2</v>
      </c>
      <c r="F185">
        <v>0</v>
      </c>
      <c r="G185">
        <v>0</v>
      </c>
      <c r="H185">
        <v>0</v>
      </c>
      <c r="I185">
        <v>0</v>
      </c>
      <c r="J185">
        <v>88.24</v>
      </c>
      <c r="K185">
        <v>0</v>
      </c>
      <c r="L185">
        <v>17</v>
      </c>
      <c r="M185">
        <v>0</v>
      </c>
      <c r="N185">
        <v>0</v>
      </c>
      <c r="O185" t="s">
        <v>24</v>
      </c>
      <c r="P185">
        <f>Table1[Active]/Table1[Confirmed]*100</f>
        <v>11.76470588235294</v>
      </c>
      <c r="Q185">
        <f>Table1[New_cases]/Table1[Confirmed_last_week]*100</f>
        <v>0</v>
      </c>
      <c r="R185">
        <f>Table1[Confirmed]-Table1[Recovered]</f>
        <v>2</v>
      </c>
      <c r="S185">
        <f>Table1[Deaths]/Table1[Confirmed]*100</f>
        <v>0</v>
      </c>
      <c r="T185" t="e">
        <f>D185:D371/Table1[Deaths]</f>
        <v>#DIV/0!</v>
      </c>
    </row>
    <row r="186" spans="1:20" x14ac:dyDescent="0.25">
      <c r="A186" t="s">
        <v>90</v>
      </c>
      <c r="B186">
        <v>14</v>
      </c>
      <c r="C186">
        <v>0</v>
      </c>
      <c r="D186">
        <v>13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92.86</v>
      </c>
      <c r="K186">
        <v>0</v>
      </c>
      <c r="L186">
        <v>13</v>
      </c>
      <c r="M186">
        <v>1</v>
      </c>
      <c r="N186">
        <v>7.69</v>
      </c>
      <c r="O186" t="s">
        <v>18</v>
      </c>
      <c r="P186">
        <f>Table1[Active]/Table1[Confirmed]*100</f>
        <v>7.1428571428571423</v>
      </c>
      <c r="Q186">
        <f>Table1[New_cases]/Table1[Confirmed_last_week]*100</f>
        <v>7.6923076923076925</v>
      </c>
      <c r="R186">
        <f>Table1[Confirmed]-Table1[Recovered]</f>
        <v>1</v>
      </c>
      <c r="S186">
        <f>Table1[Deaths]/Table1[Confirmed]*100</f>
        <v>0</v>
      </c>
      <c r="T186" t="e">
        <f>D186:D372/Table1[Deaths]</f>
        <v>#DIV/0!</v>
      </c>
    </row>
    <row r="187" spans="1:20" x14ac:dyDescent="0.25">
      <c r="A187" t="s">
        <v>97</v>
      </c>
      <c r="B187">
        <v>12</v>
      </c>
      <c r="C187">
        <v>0</v>
      </c>
      <c r="D187">
        <v>12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100</v>
      </c>
      <c r="K187">
        <v>0</v>
      </c>
      <c r="L187">
        <v>12</v>
      </c>
      <c r="M187">
        <v>0</v>
      </c>
      <c r="N187">
        <v>0</v>
      </c>
      <c r="O187" t="s">
        <v>18</v>
      </c>
      <c r="P187">
        <f>Table1[Active]/Table1[Confirmed]*100</f>
        <v>0</v>
      </c>
      <c r="Q187">
        <f>Table1[New_cases]/Table1[Confirmed_last_week]*100</f>
        <v>0</v>
      </c>
      <c r="R187">
        <f>Table1[Confirmed]-Table1[Recovered]</f>
        <v>0</v>
      </c>
      <c r="S187">
        <f>Table1[Deaths]/Table1[Confirmed]*100</f>
        <v>0</v>
      </c>
      <c r="T187" t="e">
        <f>D187:D373/Table1[Deaths]</f>
        <v>#DIV/0!</v>
      </c>
    </row>
    <row r="188" spans="1:20" x14ac:dyDescent="0.25">
      <c r="A188" t="s">
        <v>205</v>
      </c>
      <c r="B188">
        <v>10</v>
      </c>
      <c r="C188">
        <v>1</v>
      </c>
      <c r="D188">
        <v>8</v>
      </c>
      <c r="E188">
        <v>1</v>
      </c>
      <c r="F188">
        <v>0</v>
      </c>
      <c r="G188">
        <v>0</v>
      </c>
      <c r="H188">
        <v>0</v>
      </c>
      <c r="I188">
        <v>10</v>
      </c>
      <c r="J188">
        <v>80</v>
      </c>
      <c r="K188">
        <v>12.5</v>
      </c>
      <c r="L188">
        <v>10</v>
      </c>
      <c r="M188">
        <v>0</v>
      </c>
      <c r="N188">
        <v>0</v>
      </c>
      <c r="O188" t="s">
        <v>20</v>
      </c>
      <c r="P188">
        <f>Table1[Active]/Table1[Confirmed]*100</f>
        <v>10</v>
      </c>
      <c r="Q188">
        <f>Table1[New_cases]/Table1[Confirmed_last_week]*100</f>
        <v>0</v>
      </c>
      <c r="R188">
        <f>Table1[Confirmed]-Table1[Recovered]</f>
        <v>2</v>
      </c>
      <c r="S188">
        <f>Table1[Deaths]/Table1[Confirmed]*100</f>
        <v>10</v>
      </c>
      <c r="T188">
        <f>D188:D374/Table1[Deaths]</f>
        <v>8</v>
      </c>
    </row>
  </sheetData>
  <conditionalFormatting sqref="B1:B1048576">
    <cfRule type="colorScale" priority="1">
      <colorScale>
        <cfvo type="min"/>
        <cfvo type="max"/>
        <color rgb="FFFF8BAC"/>
        <color rgb="FFF74779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9FEB-F7EB-4240-8EBE-06298B5A87CA}">
  <dimension ref="A1:B7"/>
  <sheetViews>
    <sheetView workbookViewId="0">
      <selection activeCell="G35" sqref="G35"/>
    </sheetView>
  </sheetViews>
  <sheetFormatPr defaultRowHeight="15" x14ac:dyDescent="0.25"/>
  <cols>
    <col min="1" max="1" width="17.7109375" bestFit="1" customWidth="1"/>
    <col min="2" max="2" width="9" bestFit="1" customWidth="1"/>
  </cols>
  <sheetData>
    <row r="1" spans="1:2" x14ac:dyDescent="0.25">
      <c r="A1" s="6" t="s">
        <v>209</v>
      </c>
      <c r="B1" s="6" t="s">
        <v>210</v>
      </c>
    </row>
    <row r="2" spans="1:2" x14ac:dyDescent="0.25">
      <c r="A2" t="s">
        <v>211</v>
      </c>
      <c r="B2">
        <v>16480485</v>
      </c>
    </row>
    <row r="3" spans="1:2" x14ac:dyDescent="0.25">
      <c r="A3" t="s">
        <v>212</v>
      </c>
      <c r="B3">
        <v>654036</v>
      </c>
    </row>
    <row r="4" spans="1:2" x14ac:dyDescent="0.25">
      <c r="A4" t="s">
        <v>213</v>
      </c>
      <c r="B4">
        <v>9468087</v>
      </c>
    </row>
    <row r="5" spans="1:2" x14ac:dyDescent="0.25">
      <c r="A5" t="s">
        <v>214</v>
      </c>
      <c r="B5">
        <v>6358362</v>
      </c>
    </row>
    <row r="6" spans="1:2" x14ac:dyDescent="0.25">
      <c r="A6" t="s">
        <v>253</v>
      </c>
      <c r="B6">
        <v>187</v>
      </c>
    </row>
    <row r="7" spans="1:2" x14ac:dyDescent="0.25">
      <c r="A7" t="s">
        <v>232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BC68-3661-4229-9287-C2D892CDB778}">
  <dimension ref="A2:E9"/>
  <sheetViews>
    <sheetView workbookViewId="0">
      <selection activeCell="G35" sqref="G35"/>
    </sheetView>
  </sheetViews>
  <sheetFormatPr defaultRowHeight="15" x14ac:dyDescent="0.25"/>
  <cols>
    <col min="1" max="2" width="21.7109375" bestFit="1" customWidth="1"/>
    <col min="3" max="4" width="17.28515625" bestFit="1" customWidth="1"/>
    <col min="5" max="5" width="13.28515625" bestFit="1" customWidth="1"/>
  </cols>
  <sheetData>
    <row r="2" spans="1:5" x14ac:dyDescent="0.25">
      <c r="A2" s="7" t="s">
        <v>232</v>
      </c>
      <c r="B2" t="s">
        <v>216</v>
      </c>
      <c r="C2" t="s">
        <v>217</v>
      </c>
      <c r="D2" t="s">
        <v>218</v>
      </c>
      <c r="E2" t="s">
        <v>219</v>
      </c>
    </row>
    <row r="3" spans="1:5" x14ac:dyDescent="0.25">
      <c r="A3" s="8" t="s">
        <v>24</v>
      </c>
      <c r="B3">
        <v>8839286</v>
      </c>
      <c r="C3">
        <v>342732</v>
      </c>
      <c r="D3">
        <v>4468616</v>
      </c>
      <c r="E3">
        <v>4027938</v>
      </c>
    </row>
    <row r="4" spans="1:5" x14ac:dyDescent="0.25">
      <c r="A4" s="8" t="s">
        <v>18</v>
      </c>
      <c r="B4">
        <v>3299523</v>
      </c>
      <c r="C4">
        <v>211144</v>
      </c>
      <c r="D4">
        <v>1993723</v>
      </c>
      <c r="E4">
        <v>1094656</v>
      </c>
    </row>
    <row r="5" spans="1:5" x14ac:dyDescent="0.25">
      <c r="A5" s="8" t="s">
        <v>34</v>
      </c>
      <c r="B5">
        <v>1835297</v>
      </c>
      <c r="C5">
        <v>41349</v>
      </c>
      <c r="D5">
        <v>1156933</v>
      </c>
      <c r="E5">
        <v>637015</v>
      </c>
    </row>
    <row r="6" spans="1:5" x14ac:dyDescent="0.25">
      <c r="A6" s="8" t="s">
        <v>16</v>
      </c>
      <c r="B6">
        <v>1490744</v>
      </c>
      <c r="C6">
        <v>38339</v>
      </c>
      <c r="D6">
        <v>1201400</v>
      </c>
      <c r="E6">
        <v>251005</v>
      </c>
    </row>
    <row r="7" spans="1:5" x14ac:dyDescent="0.25">
      <c r="A7" s="8" t="s">
        <v>20</v>
      </c>
      <c r="B7">
        <v>723207</v>
      </c>
      <c r="C7">
        <v>12223</v>
      </c>
      <c r="D7">
        <v>440645</v>
      </c>
      <c r="E7">
        <v>270339</v>
      </c>
    </row>
    <row r="8" spans="1:5" x14ac:dyDescent="0.25">
      <c r="A8" s="8" t="s">
        <v>28</v>
      </c>
      <c r="B8">
        <v>292428</v>
      </c>
      <c r="C8">
        <v>8249</v>
      </c>
      <c r="D8">
        <v>206770</v>
      </c>
      <c r="E8">
        <v>77409</v>
      </c>
    </row>
    <row r="9" spans="1:5" x14ac:dyDescent="0.25">
      <c r="A9" s="8" t="s">
        <v>215</v>
      </c>
      <c r="B9">
        <v>16480485</v>
      </c>
      <c r="C9">
        <v>654036</v>
      </c>
      <c r="D9">
        <v>9468087</v>
      </c>
      <c r="E9">
        <v>6358362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56EB3-4BCC-47A1-8737-B122324723E1}">
  <dimension ref="A2:J16"/>
  <sheetViews>
    <sheetView workbookViewId="0">
      <selection activeCell="G35" sqref="G35"/>
    </sheetView>
  </sheetViews>
  <sheetFormatPr defaultRowHeight="15" x14ac:dyDescent="0.25"/>
  <cols>
    <col min="1" max="1" width="15.42578125" bestFit="1" customWidth="1"/>
    <col min="2" max="2" width="17.28515625" bestFit="1" customWidth="1"/>
    <col min="3" max="5" width="13.28515625" bestFit="1" customWidth="1"/>
  </cols>
  <sheetData>
    <row r="2" spans="1:10" x14ac:dyDescent="0.25">
      <c r="A2" s="7" t="s">
        <v>233</v>
      </c>
      <c r="B2" t="s">
        <v>216</v>
      </c>
    </row>
    <row r="3" spans="1:10" x14ac:dyDescent="0.25">
      <c r="A3" s="8" t="s">
        <v>195</v>
      </c>
      <c r="B3">
        <v>4290259</v>
      </c>
    </row>
    <row r="4" spans="1:10" x14ac:dyDescent="0.25">
      <c r="A4" s="8" t="s">
        <v>44</v>
      </c>
      <c r="B4">
        <v>2442375</v>
      </c>
    </row>
    <row r="5" spans="1:10" x14ac:dyDescent="0.25">
      <c r="A5" s="8" t="s">
        <v>101</v>
      </c>
      <c r="B5">
        <v>1480073</v>
      </c>
    </row>
    <row r="6" spans="1:10" x14ac:dyDescent="0.25">
      <c r="A6" s="8" t="s">
        <v>160</v>
      </c>
      <c r="B6">
        <v>816680</v>
      </c>
    </row>
    <row r="7" spans="1:10" x14ac:dyDescent="0.25">
      <c r="A7" s="8" t="s">
        <v>176</v>
      </c>
      <c r="B7">
        <v>452529</v>
      </c>
    </row>
    <row r="8" spans="1:10" x14ac:dyDescent="0.25">
      <c r="A8" s="8" t="s">
        <v>133</v>
      </c>
      <c r="B8">
        <v>395489</v>
      </c>
    </row>
    <row r="9" spans="1:10" x14ac:dyDescent="0.25">
      <c r="A9" s="8" t="s">
        <v>154</v>
      </c>
      <c r="B9">
        <v>389717</v>
      </c>
    </row>
    <row r="10" spans="1:10" x14ac:dyDescent="0.25">
      <c r="A10" s="8" t="s">
        <v>57</v>
      </c>
      <c r="B10">
        <v>347923</v>
      </c>
    </row>
    <row r="11" spans="1:10" x14ac:dyDescent="0.25">
      <c r="A11" s="8" t="s">
        <v>199</v>
      </c>
      <c r="B11">
        <v>301708</v>
      </c>
    </row>
    <row r="12" spans="1:10" x14ac:dyDescent="0.25">
      <c r="A12" s="8" t="s">
        <v>103</v>
      </c>
      <c r="B12">
        <v>293606</v>
      </c>
    </row>
    <row r="13" spans="1:10" x14ac:dyDescent="0.25">
      <c r="A13" s="8" t="s">
        <v>215</v>
      </c>
      <c r="B13">
        <v>11210359</v>
      </c>
    </row>
    <row r="16" spans="1:10" x14ac:dyDescent="0.25">
      <c r="J16" t="s">
        <v>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DAA5-F628-4DFE-B129-71E4C21A4AA6}">
  <dimension ref="A2:B13"/>
  <sheetViews>
    <sheetView workbookViewId="0">
      <selection activeCell="G35" sqref="G35"/>
    </sheetView>
  </sheetViews>
  <sheetFormatPr defaultRowHeight="15" x14ac:dyDescent="0.25"/>
  <cols>
    <col min="1" max="1" width="15.42578125" bestFit="1" customWidth="1"/>
    <col min="2" max="2" width="13.85546875" bestFit="1" customWidth="1"/>
    <col min="3" max="5" width="13.28515625" bestFit="1" customWidth="1"/>
  </cols>
  <sheetData>
    <row r="2" spans="1:2" x14ac:dyDescent="0.25">
      <c r="A2" s="7" t="s">
        <v>233</v>
      </c>
      <c r="B2" t="s">
        <v>217</v>
      </c>
    </row>
    <row r="3" spans="1:2" x14ac:dyDescent="0.25">
      <c r="A3" s="8" t="s">
        <v>195</v>
      </c>
      <c r="B3">
        <v>148011</v>
      </c>
    </row>
    <row r="4" spans="1:2" x14ac:dyDescent="0.25">
      <c r="A4" s="8" t="s">
        <v>44</v>
      </c>
      <c r="B4">
        <v>87618</v>
      </c>
    </row>
    <row r="5" spans="1:2" x14ac:dyDescent="0.25">
      <c r="A5" s="8" t="s">
        <v>199</v>
      </c>
      <c r="B5">
        <v>45844</v>
      </c>
    </row>
    <row r="6" spans="1:2" x14ac:dyDescent="0.25">
      <c r="A6" s="8" t="s">
        <v>133</v>
      </c>
      <c r="B6">
        <v>44022</v>
      </c>
    </row>
    <row r="7" spans="1:2" x14ac:dyDescent="0.25">
      <c r="A7" s="8" t="s">
        <v>107</v>
      </c>
      <c r="B7">
        <v>35112</v>
      </c>
    </row>
    <row r="8" spans="1:2" x14ac:dyDescent="0.25">
      <c r="A8" s="8" t="s">
        <v>101</v>
      </c>
      <c r="B8">
        <v>33408</v>
      </c>
    </row>
    <row r="9" spans="1:2" x14ac:dyDescent="0.25">
      <c r="A9" s="8" t="s">
        <v>83</v>
      </c>
      <c r="B9">
        <v>30212</v>
      </c>
    </row>
    <row r="10" spans="1:2" x14ac:dyDescent="0.25">
      <c r="A10" s="8" t="s">
        <v>179</v>
      </c>
      <c r="B10">
        <v>28432</v>
      </c>
    </row>
    <row r="11" spans="1:2" x14ac:dyDescent="0.25">
      <c r="A11" s="8" t="s">
        <v>154</v>
      </c>
      <c r="B11">
        <v>18418</v>
      </c>
    </row>
    <row r="12" spans="1:2" x14ac:dyDescent="0.25">
      <c r="A12" s="8" t="s">
        <v>103</v>
      </c>
      <c r="B12">
        <v>15912</v>
      </c>
    </row>
    <row r="13" spans="1:2" x14ac:dyDescent="0.25">
      <c r="A13" s="8" t="s">
        <v>215</v>
      </c>
      <c r="B13">
        <v>486989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8AAB-E5E5-4E40-BF27-6DC934B12D41}">
  <dimension ref="A1:C188"/>
  <sheetViews>
    <sheetView workbookViewId="0">
      <selection activeCell="G35" sqref="G35"/>
    </sheetView>
  </sheetViews>
  <sheetFormatPr defaultRowHeight="15" x14ac:dyDescent="0.25"/>
  <cols>
    <col min="1" max="1" width="21.7109375" bestFit="1" customWidth="1"/>
    <col min="2" max="2" width="15" bestFit="1" customWidth="1"/>
    <col min="3" max="3" width="11.7109375" bestFit="1" customWidth="1"/>
  </cols>
  <sheetData>
    <row r="1" spans="1:3" x14ac:dyDescent="0.25">
      <c r="A1" s="1" t="s">
        <v>14</v>
      </c>
      <c r="B1" s="1" t="s">
        <v>1</v>
      </c>
      <c r="C1" s="1" t="s">
        <v>2</v>
      </c>
    </row>
    <row r="2" spans="1:3" x14ac:dyDescent="0.25">
      <c r="A2" t="s">
        <v>16</v>
      </c>
      <c r="B2">
        <v>36263</v>
      </c>
      <c r="C2">
        <v>1269</v>
      </c>
    </row>
    <row r="3" spans="1:3" x14ac:dyDescent="0.25">
      <c r="A3" t="s">
        <v>18</v>
      </c>
      <c r="B3">
        <v>4880</v>
      </c>
      <c r="C3">
        <v>144</v>
      </c>
    </row>
    <row r="4" spans="1:3" x14ac:dyDescent="0.25">
      <c r="A4" t="s">
        <v>20</v>
      </c>
      <c r="B4">
        <v>27973</v>
      </c>
      <c r="C4">
        <v>1163</v>
      </c>
    </row>
    <row r="5" spans="1:3" x14ac:dyDescent="0.25">
      <c r="A5" t="s">
        <v>18</v>
      </c>
      <c r="B5">
        <v>907</v>
      </c>
      <c r="C5">
        <v>52</v>
      </c>
    </row>
    <row r="6" spans="1:3" x14ac:dyDescent="0.25">
      <c r="A6" t="s">
        <v>20</v>
      </c>
      <c r="B6">
        <v>950</v>
      </c>
      <c r="C6">
        <v>41</v>
      </c>
    </row>
    <row r="7" spans="1:3" x14ac:dyDescent="0.25">
      <c r="A7" t="s">
        <v>24</v>
      </c>
      <c r="B7">
        <v>86</v>
      </c>
      <c r="C7">
        <v>3</v>
      </c>
    </row>
    <row r="8" spans="1:3" x14ac:dyDescent="0.25">
      <c r="A8" t="s">
        <v>24</v>
      </c>
      <c r="B8">
        <v>167416</v>
      </c>
      <c r="C8">
        <v>3059</v>
      </c>
    </row>
    <row r="9" spans="1:3" x14ac:dyDescent="0.25">
      <c r="A9" t="s">
        <v>18</v>
      </c>
      <c r="B9">
        <v>37390</v>
      </c>
      <c r="C9">
        <v>711</v>
      </c>
    </row>
    <row r="10" spans="1:3" x14ac:dyDescent="0.25">
      <c r="A10" t="s">
        <v>28</v>
      </c>
      <c r="B10">
        <v>15303</v>
      </c>
      <c r="C10">
        <v>167</v>
      </c>
    </row>
    <row r="11" spans="1:3" x14ac:dyDescent="0.25">
      <c r="A11" t="s">
        <v>18</v>
      </c>
      <c r="B11">
        <v>20558</v>
      </c>
      <c r="C11">
        <v>713</v>
      </c>
    </row>
    <row r="12" spans="1:3" x14ac:dyDescent="0.25">
      <c r="A12" t="s">
        <v>18</v>
      </c>
      <c r="B12">
        <v>30446</v>
      </c>
      <c r="C12">
        <v>423</v>
      </c>
    </row>
    <row r="13" spans="1:3" x14ac:dyDescent="0.25">
      <c r="A13" t="s">
        <v>24</v>
      </c>
      <c r="B13">
        <v>382</v>
      </c>
      <c r="C13">
        <v>11</v>
      </c>
    </row>
    <row r="14" spans="1:3" x14ac:dyDescent="0.25">
      <c r="A14" t="s">
        <v>16</v>
      </c>
      <c r="B14">
        <v>39482</v>
      </c>
      <c r="C14">
        <v>141</v>
      </c>
    </row>
    <row r="15" spans="1:3" x14ac:dyDescent="0.25">
      <c r="A15" t="s">
        <v>34</v>
      </c>
      <c r="B15">
        <v>226225</v>
      </c>
      <c r="C15">
        <v>2965</v>
      </c>
    </row>
    <row r="16" spans="1:3" x14ac:dyDescent="0.25">
      <c r="A16" t="s">
        <v>24</v>
      </c>
      <c r="B16">
        <v>110</v>
      </c>
      <c r="C16">
        <v>7</v>
      </c>
    </row>
    <row r="17" spans="1:3" x14ac:dyDescent="0.25">
      <c r="A17" t="s">
        <v>18</v>
      </c>
      <c r="B17">
        <v>67251</v>
      </c>
      <c r="C17">
        <v>538</v>
      </c>
    </row>
    <row r="18" spans="1:3" x14ac:dyDescent="0.25">
      <c r="A18" t="s">
        <v>18</v>
      </c>
      <c r="B18">
        <v>66428</v>
      </c>
      <c r="C18">
        <v>9822</v>
      </c>
    </row>
    <row r="19" spans="1:3" x14ac:dyDescent="0.25">
      <c r="A19" t="s">
        <v>24</v>
      </c>
      <c r="B19">
        <v>48</v>
      </c>
      <c r="C19">
        <v>2</v>
      </c>
    </row>
    <row r="20" spans="1:3" x14ac:dyDescent="0.25">
      <c r="A20" t="s">
        <v>20</v>
      </c>
      <c r="B20">
        <v>1770</v>
      </c>
      <c r="C20">
        <v>35</v>
      </c>
    </row>
    <row r="21" spans="1:3" x14ac:dyDescent="0.25">
      <c r="A21" t="s">
        <v>34</v>
      </c>
      <c r="B21">
        <v>99</v>
      </c>
      <c r="C21">
        <v>0</v>
      </c>
    </row>
    <row r="22" spans="1:3" x14ac:dyDescent="0.25">
      <c r="A22" t="s">
        <v>24</v>
      </c>
      <c r="B22">
        <v>71181</v>
      </c>
      <c r="C22">
        <v>2647</v>
      </c>
    </row>
    <row r="23" spans="1:3" x14ac:dyDescent="0.25">
      <c r="A23" t="s">
        <v>18</v>
      </c>
      <c r="B23">
        <v>10498</v>
      </c>
      <c r="C23">
        <v>294</v>
      </c>
    </row>
    <row r="24" spans="1:3" x14ac:dyDescent="0.25">
      <c r="A24" t="s">
        <v>20</v>
      </c>
      <c r="B24">
        <v>739</v>
      </c>
      <c r="C24">
        <v>2</v>
      </c>
    </row>
    <row r="25" spans="1:3" x14ac:dyDescent="0.25">
      <c r="A25" t="s">
        <v>24</v>
      </c>
      <c r="B25">
        <v>2442375</v>
      </c>
      <c r="C25">
        <v>87618</v>
      </c>
    </row>
    <row r="26" spans="1:3" x14ac:dyDescent="0.25">
      <c r="A26" t="s">
        <v>28</v>
      </c>
      <c r="B26">
        <v>141</v>
      </c>
      <c r="C26">
        <v>3</v>
      </c>
    </row>
    <row r="27" spans="1:3" x14ac:dyDescent="0.25">
      <c r="A27" t="s">
        <v>18</v>
      </c>
      <c r="B27">
        <v>10621</v>
      </c>
      <c r="C27">
        <v>347</v>
      </c>
    </row>
    <row r="28" spans="1:3" x14ac:dyDescent="0.25">
      <c r="A28" t="s">
        <v>20</v>
      </c>
      <c r="B28">
        <v>1100</v>
      </c>
      <c r="C28">
        <v>53</v>
      </c>
    </row>
    <row r="29" spans="1:3" x14ac:dyDescent="0.25">
      <c r="A29" t="s">
        <v>34</v>
      </c>
      <c r="B29">
        <v>350</v>
      </c>
      <c r="C29">
        <v>6</v>
      </c>
    </row>
    <row r="30" spans="1:3" x14ac:dyDescent="0.25">
      <c r="A30" t="s">
        <v>20</v>
      </c>
      <c r="B30">
        <v>378</v>
      </c>
      <c r="C30">
        <v>1</v>
      </c>
    </row>
    <row r="31" spans="1:3" x14ac:dyDescent="0.25">
      <c r="A31" t="s">
        <v>20</v>
      </c>
      <c r="B31">
        <v>2328</v>
      </c>
      <c r="C31">
        <v>22</v>
      </c>
    </row>
    <row r="32" spans="1:3" x14ac:dyDescent="0.25">
      <c r="A32" t="s">
        <v>28</v>
      </c>
      <c r="B32">
        <v>226</v>
      </c>
      <c r="C32">
        <v>0</v>
      </c>
    </row>
    <row r="33" spans="1:3" x14ac:dyDescent="0.25">
      <c r="A33" t="s">
        <v>20</v>
      </c>
      <c r="B33">
        <v>17110</v>
      </c>
      <c r="C33">
        <v>391</v>
      </c>
    </row>
    <row r="34" spans="1:3" x14ac:dyDescent="0.25">
      <c r="A34" t="s">
        <v>24</v>
      </c>
      <c r="B34">
        <v>116458</v>
      </c>
      <c r="C34">
        <v>8944</v>
      </c>
    </row>
    <row r="35" spans="1:3" x14ac:dyDescent="0.25">
      <c r="A35" t="s">
        <v>20</v>
      </c>
      <c r="B35">
        <v>4599</v>
      </c>
      <c r="C35">
        <v>59</v>
      </c>
    </row>
    <row r="36" spans="1:3" x14ac:dyDescent="0.25">
      <c r="A36" t="s">
        <v>20</v>
      </c>
      <c r="B36">
        <v>922</v>
      </c>
      <c r="C36">
        <v>75</v>
      </c>
    </row>
    <row r="37" spans="1:3" x14ac:dyDescent="0.25">
      <c r="A37" t="s">
        <v>24</v>
      </c>
      <c r="B37">
        <v>347923</v>
      </c>
      <c r="C37">
        <v>9187</v>
      </c>
    </row>
    <row r="38" spans="1:3" x14ac:dyDescent="0.25">
      <c r="A38" t="s">
        <v>28</v>
      </c>
      <c r="B38">
        <v>86783</v>
      </c>
      <c r="C38">
        <v>4656</v>
      </c>
    </row>
    <row r="39" spans="1:3" x14ac:dyDescent="0.25">
      <c r="A39" t="s">
        <v>24</v>
      </c>
      <c r="B39">
        <v>257101</v>
      </c>
      <c r="C39">
        <v>8777</v>
      </c>
    </row>
    <row r="40" spans="1:3" x14ac:dyDescent="0.25">
      <c r="A40" t="s">
        <v>20</v>
      </c>
      <c r="B40">
        <v>354</v>
      </c>
      <c r="C40">
        <v>7</v>
      </c>
    </row>
    <row r="41" spans="1:3" x14ac:dyDescent="0.25">
      <c r="A41" t="s">
        <v>20</v>
      </c>
      <c r="B41">
        <v>3200</v>
      </c>
      <c r="C41">
        <v>54</v>
      </c>
    </row>
    <row r="42" spans="1:3" x14ac:dyDescent="0.25">
      <c r="A42" t="s">
        <v>20</v>
      </c>
      <c r="B42">
        <v>8844</v>
      </c>
      <c r="C42">
        <v>208</v>
      </c>
    </row>
    <row r="43" spans="1:3" x14ac:dyDescent="0.25">
      <c r="A43" t="s">
        <v>24</v>
      </c>
      <c r="B43">
        <v>15841</v>
      </c>
      <c r="C43">
        <v>115</v>
      </c>
    </row>
    <row r="44" spans="1:3" x14ac:dyDescent="0.25">
      <c r="A44" t="s">
        <v>20</v>
      </c>
      <c r="B44">
        <v>15655</v>
      </c>
      <c r="C44">
        <v>96</v>
      </c>
    </row>
    <row r="45" spans="1:3" x14ac:dyDescent="0.25">
      <c r="A45" t="s">
        <v>18</v>
      </c>
      <c r="B45">
        <v>4881</v>
      </c>
      <c r="C45">
        <v>139</v>
      </c>
    </row>
    <row r="46" spans="1:3" x14ac:dyDescent="0.25">
      <c r="A46" t="s">
        <v>24</v>
      </c>
      <c r="B46">
        <v>2532</v>
      </c>
      <c r="C46">
        <v>87</v>
      </c>
    </row>
    <row r="47" spans="1:3" x14ac:dyDescent="0.25">
      <c r="A47" t="s">
        <v>18</v>
      </c>
      <c r="B47">
        <v>1060</v>
      </c>
      <c r="C47">
        <v>19</v>
      </c>
    </row>
    <row r="48" spans="1:3" x14ac:dyDescent="0.25">
      <c r="A48" t="s">
        <v>18</v>
      </c>
      <c r="B48">
        <v>15516</v>
      </c>
      <c r="C48">
        <v>373</v>
      </c>
    </row>
    <row r="49" spans="1:3" x14ac:dyDescent="0.25">
      <c r="A49" t="s">
        <v>18</v>
      </c>
      <c r="B49">
        <v>13761</v>
      </c>
      <c r="C49">
        <v>613</v>
      </c>
    </row>
    <row r="50" spans="1:3" x14ac:dyDescent="0.25">
      <c r="A50" t="s">
        <v>16</v>
      </c>
      <c r="B50">
        <v>5059</v>
      </c>
      <c r="C50">
        <v>58</v>
      </c>
    </row>
    <row r="51" spans="1:3" x14ac:dyDescent="0.25">
      <c r="A51" t="s">
        <v>24</v>
      </c>
      <c r="B51">
        <v>18</v>
      </c>
      <c r="C51">
        <v>0</v>
      </c>
    </row>
    <row r="52" spans="1:3" x14ac:dyDescent="0.25">
      <c r="A52" t="s">
        <v>24</v>
      </c>
      <c r="B52">
        <v>64156</v>
      </c>
      <c r="C52">
        <v>1083</v>
      </c>
    </row>
    <row r="53" spans="1:3" x14ac:dyDescent="0.25">
      <c r="A53" t="s">
        <v>24</v>
      </c>
      <c r="B53">
        <v>81161</v>
      </c>
      <c r="C53">
        <v>5532</v>
      </c>
    </row>
    <row r="54" spans="1:3" x14ac:dyDescent="0.25">
      <c r="A54" t="s">
        <v>16</v>
      </c>
      <c r="B54">
        <v>92482</v>
      </c>
      <c r="C54">
        <v>4652</v>
      </c>
    </row>
    <row r="55" spans="1:3" x14ac:dyDescent="0.25">
      <c r="A55" t="s">
        <v>24</v>
      </c>
      <c r="B55">
        <v>15035</v>
      </c>
      <c r="C55">
        <v>408</v>
      </c>
    </row>
    <row r="56" spans="1:3" x14ac:dyDescent="0.25">
      <c r="A56" t="s">
        <v>20</v>
      </c>
      <c r="B56">
        <v>3071</v>
      </c>
      <c r="C56">
        <v>51</v>
      </c>
    </row>
    <row r="57" spans="1:3" x14ac:dyDescent="0.25">
      <c r="A57" t="s">
        <v>20</v>
      </c>
      <c r="B57">
        <v>265</v>
      </c>
      <c r="C57">
        <v>0</v>
      </c>
    </row>
    <row r="58" spans="1:3" x14ac:dyDescent="0.25">
      <c r="A58" t="s">
        <v>18</v>
      </c>
      <c r="B58">
        <v>2034</v>
      </c>
      <c r="C58">
        <v>69</v>
      </c>
    </row>
    <row r="59" spans="1:3" x14ac:dyDescent="0.25">
      <c r="A59" t="s">
        <v>20</v>
      </c>
      <c r="B59">
        <v>2316</v>
      </c>
      <c r="C59">
        <v>34</v>
      </c>
    </row>
    <row r="60" spans="1:3" x14ac:dyDescent="0.25">
      <c r="A60" t="s">
        <v>20</v>
      </c>
      <c r="B60">
        <v>14547</v>
      </c>
      <c r="C60">
        <v>228</v>
      </c>
    </row>
    <row r="61" spans="1:3" x14ac:dyDescent="0.25">
      <c r="A61" t="s">
        <v>28</v>
      </c>
      <c r="B61">
        <v>27</v>
      </c>
      <c r="C61">
        <v>0</v>
      </c>
    </row>
    <row r="62" spans="1:3" x14ac:dyDescent="0.25">
      <c r="A62" t="s">
        <v>18</v>
      </c>
      <c r="B62">
        <v>7398</v>
      </c>
      <c r="C62">
        <v>329</v>
      </c>
    </row>
    <row r="63" spans="1:3" x14ac:dyDescent="0.25">
      <c r="A63" t="s">
        <v>18</v>
      </c>
      <c r="B63">
        <v>220352</v>
      </c>
      <c r="C63">
        <v>30212</v>
      </c>
    </row>
    <row r="64" spans="1:3" x14ac:dyDescent="0.25">
      <c r="A64" t="s">
        <v>20</v>
      </c>
      <c r="B64">
        <v>7189</v>
      </c>
      <c r="C64">
        <v>49</v>
      </c>
    </row>
    <row r="65" spans="1:3" x14ac:dyDescent="0.25">
      <c r="A65" t="s">
        <v>20</v>
      </c>
      <c r="B65">
        <v>326</v>
      </c>
      <c r="C65">
        <v>8</v>
      </c>
    </row>
    <row r="66" spans="1:3" x14ac:dyDescent="0.25">
      <c r="A66" t="s">
        <v>18</v>
      </c>
      <c r="B66">
        <v>1137</v>
      </c>
      <c r="C66">
        <v>16</v>
      </c>
    </row>
    <row r="67" spans="1:3" x14ac:dyDescent="0.25">
      <c r="A67" t="s">
        <v>18</v>
      </c>
      <c r="B67">
        <v>207112</v>
      </c>
      <c r="C67">
        <v>9125</v>
      </c>
    </row>
    <row r="68" spans="1:3" x14ac:dyDescent="0.25">
      <c r="A68" t="s">
        <v>20</v>
      </c>
      <c r="B68">
        <v>33624</v>
      </c>
      <c r="C68">
        <v>168</v>
      </c>
    </row>
    <row r="69" spans="1:3" x14ac:dyDescent="0.25">
      <c r="A69" t="s">
        <v>18</v>
      </c>
      <c r="B69">
        <v>4227</v>
      </c>
      <c r="C69">
        <v>202</v>
      </c>
    </row>
    <row r="70" spans="1:3" x14ac:dyDescent="0.25">
      <c r="A70" t="s">
        <v>18</v>
      </c>
      <c r="B70">
        <v>14</v>
      </c>
      <c r="C70">
        <v>0</v>
      </c>
    </row>
    <row r="71" spans="1:3" x14ac:dyDescent="0.25">
      <c r="A71" t="s">
        <v>24</v>
      </c>
      <c r="B71">
        <v>23</v>
      </c>
      <c r="C71">
        <v>0</v>
      </c>
    </row>
    <row r="72" spans="1:3" x14ac:dyDescent="0.25">
      <c r="A72" t="s">
        <v>24</v>
      </c>
      <c r="B72">
        <v>45309</v>
      </c>
      <c r="C72">
        <v>1761</v>
      </c>
    </row>
    <row r="73" spans="1:3" x14ac:dyDescent="0.25">
      <c r="A73" t="s">
        <v>20</v>
      </c>
      <c r="B73">
        <v>7055</v>
      </c>
      <c r="C73">
        <v>45</v>
      </c>
    </row>
    <row r="74" spans="1:3" x14ac:dyDescent="0.25">
      <c r="A74" t="s">
        <v>20</v>
      </c>
      <c r="B74">
        <v>1954</v>
      </c>
      <c r="C74">
        <v>26</v>
      </c>
    </row>
    <row r="75" spans="1:3" x14ac:dyDescent="0.25">
      <c r="A75" t="s">
        <v>24</v>
      </c>
      <c r="B75">
        <v>389</v>
      </c>
      <c r="C75">
        <v>20</v>
      </c>
    </row>
    <row r="76" spans="1:3" x14ac:dyDescent="0.25">
      <c r="A76" t="s">
        <v>24</v>
      </c>
      <c r="B76">
        <v>7340</v>
      </c>
      <c r="C76">
        <v>158</v>
      </c>
    </row>
    <row r="77" spans="1:3" x14ac:dyDescent="0.25">
      <c r="A77" t="s">
        <v>18</v>
      </c>
      <c r="B77">
        <v>12</v>
      </c>
      <c r="C77">
        <v>0</v>
      </c>
    </row>
    <row r="78" spans="1:3" x14ac:dyDescent="0.25">
      <c r="A78" t="s">
        <v>24</v>
      </c>
      <c r="B78">
        <v>39741</v>
      </c>
      <c r="C78">
        <v>1166</v>
      </c>
    </row>
    <row r="79" spans="1:3" x14ac:dyDescent="0.25">
      <c r="A79" t="s">
        <v>18</v>
      </c>
      <c r="B79">
        <v>4448</v>
      </c>
      <c r="C79">
        <v>596</v>
      </c>
    </row>
    <row r="80" spans="1:3" x14ac:dyDescent="0.25">
      <c r="A80" t="s">
        <v>18</v>
      </c>
      <c r="B80">
        <v>1854</v>
      </c>
      <c r="C80">
        <v>10</v>
      </c>
    </row>
    <row r="81" spans="1:3" x14ac:dyDescent="0.25">
      <c r="A81" t="s">
        <v>34</v>
      </c>
      <c r="B81">
        <v>1480073</v>
      </c>
      <c r="C81">
        <v>33408</v>
      </c>
    </row>
    <row r="82" spans="1:3" x14ac:dyDescent="0.25">
      <c r="A82" t="s">
        <v>34</v>
      </c>
      <c r="B82">
        <v>100303</v>
      </c>
      <c r="C82">
        <v>4838</v>
      </c>
    </row>
    <row r="83" spans="1:3" x14ac:dyDescent="0.25">
      <c r="A83" t="s">
        <v>16</v>
      </c>
      <c r="B83">
        <v>293606</v>
      </c>
      <c r="C83">
        <v>15912</v>
      </c>
    </row>
    <row r="84" spans="1:3" x14ac:dyDescent="0.25">
      <c r="A84" t="s">
        <v>16</v>
      </c>
      <c r="B84">
        <v>112585</v>
      </c>
      <c r="C84">
        <v>4458</v>
      </c>
    </row>
    <row r="85" spans="1:3" x14ac:dyDescent="0.25">
      <c r="A85" t="s">
        <v>18</v>
      </c>
      <c r="B85">
        <v>25892</v>
      </c>
      <c r="C85">
        <v>1764</v>
      </c>
    </row>
    <row r="86" spans="1:3" x14ac:dyDescent="0.25">
      <c r="A86" t="s">
        <v>18</v>
      </c>
      <c r="B86">
        <v>63985</v>
      </c>
      <c r="C86">
        <v>474</v>
      </c>
    </row>
    <row r="87" spans="1:3" x14ac:dyDescent="0.25">
      <c r="A87" t="s">
        <v>18</v>
      </c>
      <c r="B87">
        <v>246286</v>
      </c>
      <c r="C87">
        <v>35112</v>
      </c>
    </row>
    <row r="88" spans="1:3" x14ac:dyDescent="0.25">
      <c r="A88" t="s">
        <v>24</v>
      </c>
      <c r="B88">
        <v>853</v>
      </c>
      <c r="C88">
        <v>10</v>
      </c>
    </row>
    <row r="89" spans="1:3" x14ac:dyDescent="0.25">
      <c r="A89" t="s">
        <v>28</v>
      </c>
      <c r="B89">
        <v>31142</v>
      </c>
      <c r="C89">
        <v>998</v>
      </c>
    </row>
    <row r="90" spans="1:3" x14ac:dyDescent="0.25">
      <c r="A90" t="s">
        <v>16</v>
      </c>
      <c r="B90">
        <v>1176</v>
      </c>
      <c r="C90">
        <v>11</v>
      </c>
    </row>
    <row r="91" spans="1:3" x14ac:dyDescent="0.25">
      <c r="A91" t="s">
        <v>18</v>
      </c>
      <c r="B91">
        <v>84648</v>
      </c>
      <c r="C91">
        <v>585</v>
      </c>
    </row>
    <row r="92" spans="1:3" x14ac:dyDescent="0.25">
      <c r="A92" t="s">
        <v>20</v>
      </c>
      <c r="B92">
        <v>17975</v>
      </c>
      <c r="C92">
        <v>285</v>
      </c>
    </row>
    <row r="93" spans="1:3" x14ac:dyDescent="0.25">
      <c r="A93" t="s">
        <v>18</v>
      </c>
      <c r="B93">
        <v>7413</v>
      </c>
      <c r="C93">
        <v>185</v>
      </c>
    </row>
    <row r="94" spans="1:3" x14ac:dyDescent="0.25">
      <c r="A94" t="s">
        <v>16</v>
      </c>
      <c r="B94">
        <v>64379</v>
      </c>
      <c r="C94">
        <v>438</v>
      </c>
    </row>
    <row r="95" spans="1:3" x14ac:dyDescent="0.25">
      <c r="A95" t="s">
        <v>18</v>
      </c>
      <c r="B95">
        <v>33296</v>
      </c>
      <c r="C95">
        <v>1301</v>
      </c>
    </row>
    <row r="96" spans="1:3" x14ac:dyDescent="0.25">
      <c r="A96" t="s">
        <v>28</v>
      </c>
      <c r="B96">
        <v>20</v>
      </c>
      <c r="C96">
        <v>0</v>
      </c>
    </row>
    <row r="97" spans="1:3" x14ac:dyDescent="0.25">
      <c r="A97" t="s">
        <v>18</v>
      </c>
      <c r="B97">
        <v>1219</v>
      </c>
      <c r="C97">
        <v>31</v>
      </c>
    </row>
    <row r="98" spans="1:3" x14ac:dyDescent="0.25">
      <c r="A98" t="s">
        <v>16</v>
      </c>
      <c r="B98">
        <v>3882</v>
      </c>
      <c r="C98">
        <v>51</v>
      </c>
    </row>
    <row r="99" spans="1:3" x14ac:dyDescent="0.25">
      <c r="A99" t="s">
        <v>20</v>
      </c>
      <c r="B99">
        <v>505</v>
      </c>
      <c r="C99">
        <v>12</v>
      </c>
    </row>
    <row r="100" spans="1:3" x14ac:dyDescent="0.25">
      <c r="A100" t="s">
        <v>20</v>
      </c>
      <c r="B100">
        <v>1167</v>
      </c>
      <c r="C100">
        <v>72</v>
      </c>
    </row>
    <row r="101" spans="1:3" x14ac:dyDescent="0.25">
      <c r="A101" t="s">
        <v>16</v>
      </c>
      <c r="B101">
        <v>2827</v>
      </c>
      <c r="C101">
        <v>64</v>
      </c>
    </row>
    <row r="102" spans="1:3" x14ac:dyDescent="0.25">
      <c r="A102" t="s">
        <v>18</v>
      </c>
      <c r="B102">
        <v>86</v>
      </c>
      <c r="C102">
        <v>1</v>
      </c>
    </row>
    <row r="103" spans="1:3" x14ac:dyDescent="0.25">
      <c r="A103" t="s">
        <v>18</v>
      </c>
      <c r="B103">
        <v>2019</v>
      </c>
      <c r="C103">
        <v>80</v>
      </c>
    </row>
    <row r="104" spans="1:3" x14ac:dyDescent="0.25">
      <c r="A104" t="s">
        <v>18</v>
      </c>
      <c r="B104">
        <v>6321</v>
      </c>
      <c r="C104">
        <v>112</v>
      </c>
    </row>
    <row r="105" spans="1:3" x14ac:dyDescent="0.25">
      <c r="A105" t="s">
        <v>20</v>
      </c>
      <c r="B105">
        <v>9690</v>
      </c>
      <c r="C105">
        <v>91</v>
      </c>
    </row>
    <row r="106" spans="1:3" x14ac:dyDescent="0.25">
      <c r="A106" t="s">
        <v>20</v>
      </c>
      <c r="B106">
        <v>3664</v>
      </c>
      <c r="C106">
        <v>99</v>
      </c>
    </row>
    <row r="107" spans="1:3" x14ac:dyDescent="0.25">
      <c r="A107" t="s">
        <v>28</v>
      </c>
      <c r="B107">
        <v>8904</v>
      </c>
      <c r="C107">
        <v>124</v>
      </c>
    </row>
    <row r="108" spans="1:3" x14ac:dyDescent="0.25">
      <c r="A108" t="s">
        <v>34</v>
      </c>
      <c r="B108">
        <v>3369</v>
      </c>
      <c r="C108">
        <v>15</v>
      </c>
    </row>
    <row r="109" spans="1:3" x14ac:dyDescent="0.25">
      <c r="A109" t="s">
        <v>20</v>
      </c>
      <c r="B109">
        <v>2513</v>
      </c>
      <c r="C109">
        <v>124</v>
      </c>
    </row>
    <row r="110" spans="1:3" x14ac:dyDescent="0.25">
      <c r="A110" t="s">
        <v>18</v>
      </c>
      <c r="B110">
        <v>701</v>
      </c>
      <c r="C110">
        <v>9</v>
      </c>
    </row>
    <row r="111" spans="1:3" x14ac:dyDescent="0.25">
      <c r="A111" t="s">
        <v>20</v>
      </c>
      <c r="B111">
        <v>6208</v>
      </c>
      <c r="C111">
        <v>156</v>
      </c>
    </row>
    <row r="112" spans="1:3" x14ac:dyDescent="0.25">
      <c r="A112" t="s">
        <v>20</v>
      </c>
      <c r="B112">
        <v>344</v>
      </c>
      <c r="C112">
        <v>10</v>
      </c>
    </row>
    <row r="113" spans="1:3" x14ac:dyDescent="0.25">
      <c r="A113" t="s">
        <v>24</v>
      </c>
      <c r="B113">
        <v>395489</v>
      </c>
      <c r="C113">
        <v>44022</v>
      </c>
    </row>
    <row r="114" spans="1:3" x14ac:dyDescent="0.25">
      <c r="A114" t="s">
        <v>18</v>
      </c>
      <c r="B114">
        <v>23154</v>
      </c>
      <c r="C114">
        <v>748</v>
      </c>
    </row>
    <row r="115" spans="1:3" x14ac:dyDescent="0.25">
      <c r="A115" t="s">
        <v>18</v>
      </c>
      <c r="B115">
        <v>116</v>
      </c>
      <c r="C115">
        <v>4</v>
      </c>
    </row>
    <row r="116" spans="1:3" x14ac:dyDescent="0.25">
      <c r="A116" t="s">
        <v>28</v>
      </c>
      <c r="B116">
        <v>289</v>
      </c>
      <c r="C116">
        <v>0</v>
      </c>
    </row>
    <row r="117" spans="1:3" x14ac:dyDescent="0.25">
      <c r="A117" t="s">
        <v>18</v>
      </c>
      <c r="B117">
        <v>2893</v>
      </c>
      <c r="C117">
        <v>45</v>
      </c>
    </row>
    <row r="118" spans="1:3" x14ac:dyDescent="0.25">
      <c r="A118" t="s">
        <v>16</v>
      </c>
      <c r="B118">
        <v>20887</v>
      </c>
      <c r="C118">
        <v>316</v>
      </c>
    </row>
    <row r="119" spans="1:3" x14ac:dyDescent="0.25">
      <c r="A119" t="s">
        <v>20</v>
      </c>
      <c r="B119">
        <v>1701</v>
      </c>
      <c r="C119">
        <v>11</v>
      </c>
    </row>
    <row r="120" spans="1:3" x14ac:dyDescent="0.25">
      <c r="A120" t="s">
        <v>20</v>
      </c>
      <c r="B120">
        <v>1843</v>
      </c>
      <c r="C120">
        <v>8</v>
      </c>
    </row>
    <row r="121" spans="1:3" x14ac:dyDescent="0.25">
      <c r="A121" t="s">
        <v>34</v>
      </c>
      <c r="B121">
        <v>18752</v>
      </c>
      <c r="C121">
        <v>48</v>
      </c>
    </row>
    <row r="122" spans="1:3" x14ac:dyDescent="0.25">
      <c r="A122" t="s">
        <v>18</v>
      </c>
      <c r="B122">
        <v>53413</v>
      </c>
      <c r="C122">
        <v>6160</v>
      </c>
    </row>
    <row r="123" spans="1:3" x14ac:dyDescent="0.25">
      <c r="A123" t="s">
        <v>28</v>
      </c>
      <c r="B123">
        <v>1557</v>
      </c>
      <c r="C123">
        <v>22</v>
      </c>
    </row>
    <row r="124" spans="1:3" x14ac:dyDescent="0.25">
      <c r="A124" t="s">
        <v>24</v>
      </c>
      <c r="B124">
        <v>3439</v>
      </c>
      <c r="C124">
        <v>108</v>
      </c>
    </row>
    <row r="125" spans="1:3" x14ac:dyDescent="0.25">
      <c r="A125" t="s">
        <v>20</v>
      </c>
      <c r="B125">
        <v>1132</v>
      </c>
      <c r="C125">
        <v>69</v>
      </c>
    </row>
    <row r="126" spans="1:3" x14ac:dyDescent="0.25">
      <c r="A126" t="s">
        <v>20</v>
      </c>
      <c r="B126">
        <v>41180</v>
      </c>
      <c r="C126">
        <v>860</v>
      </c>
    </row>
    <row r="127" spans="1:3" x14ac:dyDescent="0.25">
      <c r="A127" t="s">
        <v>18</v>
      </c>
      <c r="B127">
        <v>10213</v>
      </c>
      <c r="C127">
        <v>466</v>
      </c>
    </row>
    <row r="128" spans="1:3" x14ac:dyDescent="0.25">
      <c r="A128" t="s">
        <v>18</v>
      </c>
      <c r="B128">
        <v>9132</v>
      </c>
      <c r="C128">
        <v>255</v>
      </c>
    </row>
    <row r="129" spans="1:3" x14ac:dyDescent="0.25">
      <c r="A129" t="s">
        <v>16</v>
      </c>
      <c r="B129">
        <v>77058</v>
      </c>
      <c r="C129">
        <v>393</v>
      </c>
    </row>
    <row r="130" spans="1:3" x14ac:dyDescent="0.25">
      <c r="A130" t="s">
        <v>16</v>
      </c>
      <c r="B130">
        <v>274289</v>
      </c>
      <c r="C130">
        <v>5842</v>
      </c>
    </row>
    <row r="131" spans="1:3" x14ac:dyDescent="0.25">
      <c r="A131" t="s">
        <v>24</v>
      </c>
      <c r="B131">
        <v>61442</v>
      </c>
      <c r="C131">
        <v>1322</v>
      </c>
    </row>
    <row r="132" spans="1:3" x14ac:dyDescent="0.25">
      <c r="A132" t="s">
        <v>28</v>
      </c>
      <c r="B132">
        <v>62</v>
      </c>
      <c r="C132">
        <v>0</v>
      </c>
    </row>
    <row r="133" spans="1:3" x14ac:dyDescent="0.25">
      <c r="A133" t="s">
        <v>24</v>
      </c>
      <c r="B133">
        <v>4548</v>
      </c>
      <c r="C133">
        <v>43</v>
      </c>
    </row>
    <row r="134" spans="1:3" x14ac:dyDescent="0.25">
      <c r="A134" t="s">
        <v>24</v>
      </c>
      <c r="B134">
        <v>389717</v>
      </c>
      <c r="C134">
        <v>18418</v>
      </c>
    </row>
    <row r="135" spans="1:3" x14ac:dyDescent="0.25">
      <c r="A135" t="s">
        <v>28</v>
      </c>
      <c r="B135">
        <v>82040</v>
      </c>
      <c r="C135">
        <v>1945</v>
      </c>
    </row>
    <row r="136" spans="1:3" x14ac:dyDescent="0.25">
      <c r="A136" t="s">
        <v>18</v>
      </c>
      <c r="B136">
        <v>43402</v>
      </c>
      <c r="C136">
        <v>1676</v>
      </c>
    </row>
    <row r="137" spans="1:3" x14ac:dyDescent="0.25">
      <c r="A137" t="s">
        <v>18</v>
      </c>
      <c r="B137">
        <v>50299</v>
      </c>
      <c r="C137">
        <v>1719</v>
      </c>
    </row>
    <row r="138" spans="1:3" x14ac:dyDescent="0.25">
      <c r="A138" t="s">
        <v>16</v>
      </c>
      <c r="B138">
        <v>109597</v>
      </c>
      <c r="C138">
        <v>165</v>
      </c>
    </row>
    <row r="139" spans="1:3" x14ac:dyDescent="0.25">
      <c r="A139" t="s">
        <v>18</v>
      </c>
      <c r="B139">
        <v>45902</v>
      </c>
      <c r="C139">
        <v>2206</v>
      </c>
    </row>
    <row r="140" spans="1:3" x14ac:dyDescent="0.25">
      <c r="A140" t="s">
        <v>18</v>
      </c>
      <c r="B140">
        <v>816680</v>
      </c>
      <c r="C140">
        <v>13334</v>
      </c>
    </row>
    <row r="141" spans="1:3" x14ac:dyDescent="0.25">
      <c r="A141" t="s">
        <v>20</v>
      </c>
      <c r="B141">
        <v>1879</v>
      </c>
      <c r="C141">
        <v>5</v>
      </c>
    </row>
    <row r="142" spans="1:3" x14ac:dyDescent="0.25">
      <c r="A142" t="s">
        <v>24</v>
      </c>
      <c r="B142">
        <v>17</v>
      </c>
      <c r="C142">
        <v>0</v>
      </c>
    </row>
    <row r="143" spans="1:3" x14ac:dyDescent="0.25">
      <c r="A143" t="s">
        <v>24</v>
      </c>
      <c r="B143">
        <v>24</v>
      </c>
      <c r="C143">
        <v>0</v>
      </c>
    </row>
    <row r="144" spans="1:3" x14ac:dyDescent="0.25">
      <c r="A144" t="s">
        <v>24</v>
      </c>
      <c r="B144">
        <v>52</v>
      </c>
      <c r="C144">
        <v>0</v>
      </c>
    </row>
    <row r="145" spans="1:3" x14ac:dyDescent="0.25">
      <c r="A145" t="s">
        <v>18</v>
      </c>
      <c r="B145">
        <v>699</v>
      </c>
      <c r="C145">
        <v>42</v>
      </c>
    </row>
    <row r="146" spans="1:3" x14ac:dyDescent="0.25">
      <c r="A146" t="s">
        <v>20</v>
      </c>
      <c r="B146">
        <v>865</v>
      </c>
      <c r="C146">
        <v>14</v>
      </c>
    </row>
    <row r="147" spans="1:3" x14ac:dyDescent="0.25">
      <c r="A147" t="s">
        <v>16</v>
      </c>
      <c r="B147">
        <v>268934</v>
      </c>
      <c r="C147">
        <v>2760</v>
      </c>
    </row>
    <row r="148" spans="1:3" x14ac:dyDescent="0.25">
      <c r="A148" t="s">
        <v>20</v>
      </c>
      <c r="B148">
        <v>9764</v>
      </c>
      <c r="C148">
        <v>194</v>
      </c>
    </row>
    <row r="149" spans="1:3" x14ac:dyDescent="0.25">
      <c r="A149" t="s">
        <v>18</v>
      </c>
      <c r="B149">
        <v>24141</v>
      </c>
      <c r="C149">
        <v>543</v>
      </c>
    </row>
    <row r="150" spans="1:3" x14ac:dyDescent="0.25">
      <c r="A150" t="s">
        <v>20</v>
      </c>
      <c r="B150">
        <v>114</v>
      </c>
      <c r="C150">
        <v>0</v>
      </c>
    </row>
    <row r="151" spans="1:3" x14ac:dyDescent="0.25">
      <c r="A151" t="s">
        <v>20</v>
      </c>
      <c r="B151">
        <v>1783</v>
      </c>
      <c r="C151">
        <v>66</v>
      </c>
    </row>
    <row r="152" spans="1:3" x14ac:dyDescent="0.25">
      <c r="A152" t="s">
        <v>28</v>
      </c>
      <c r="B152">
        <v>50838</v>
      </c>
      <c r="C152">
        <v>27</v>
      </c>
    </row>
    <row r="153" spans="1:3" x14ac:dyDescent="0.25">
      <c r="A153" t="s">
        <v>18</v>
      </c>
      <c r="B153">
        <v>2181</v>
      </c>
      <c r="C153">
        <v>28</v>
      </c>
    </row>
    <row r="154" spans="1:3" x14ac:dyDescent="0.25">
      <c r="A154" t="s">
        <v>18</v>
      </c>
      <c r="B154">
        <v>2087</v>
      </c>
      <c r="C154">
        <v>116</v>
      </c>
    </row>
    <row r="155" spans="1:3" x14ac:dyDescent="0.25">
      <c r="A155" t="s">
        <v>16</v>
      </c>
      <c r="B155">
        <v>3196</v>
      </c>
      <c r="C155">
        <v>93</v>
      </c>
    </row>
    <row r="156" spans="1:3" x14ac:dyDescent="0.25">
      <c r="A156" t="s">
        <v>20</v>
      </c>
      <c r="B156">
        <v>452529</v>
      </c>
      <c r="C156">
        <v>7067</v>
      </c>
    </row>
    <row r="157" spans="1:3" x14ac:dyDescent="0.25">
      <c r="A157" t="s">
        <v>28</v>
      </c>
      <c r="B157">
        <v>14203</v>
      </c>
      <c r="C157">
        <v>300</v>
      </c>
    </row>
    <row r="158" spans="1:3" x14ac:dyDescent="0.25">
      <c r="A158" t="s">
        <v>20</v>
      </c>
      <c r="B158">
        <v>2305</v>
      </c>
      <c r="C158">
        <v>46</v>
      </c>
    </row>
    <row r="159" spans="1:3" x14ac:dyDescent="0.25">
      <c r="A159" t="s">
        <v>18</v>
      </c>
      <c r="B159">
        <v>272421</v>
      </c>
      <c r="C159">
        <v>28432</v>
      </c>
    </row>
    <row r="160" spans="1:3" x14ac:dyDescent="0.25">
      <c r="A160" t="s">
        <v>34</v>
      </c>
      <c r="B160">
        <v>2805</v>
      </c>
      <c r="C160">
        <v>11</v>
      </c>
    </row>
    <row r="161" spans="1:3" x14ac:dyDescent="0.25">
      <c r="A161" t="s">
        <v>16</v>
      </c>
      <c r="B161">
        <v>11424</v>
      </c>
      <c r="C161">
        <v>720</v>
      </c>
    </row>
    <row r="162" spans="1:3" x14ac:dyDescent="0.25">
      <c r="A162" t="s">
        <v>24</v>
      </c>
      <c r="B162">
        <v>1483</v>
      </c>
      <c r="C162">
        <v>24</v>
      </c>
    </row>
    <row r="163" spans="1:3" x14ac:dyDescent="0.25">
      <c r="A163" t="s">
        <v>18</v>
      </c>
      <c r="B163">
        <v>79395</v>
      </c>
      <c r="C163">
        <v>5700</v>
      </c>
    </row>
    <row r="164" spans="1:3" x14ac:dyDescent="0.25">
      <c r="A164" t="s">
        <v>18</v>
      </c>
      <c r="B164">
        <v>34477</v>
      </c>
      <c r="C164">
        <v>1978</v>
      </c>
    </row>
    <row r="165" spans="1:3" x14ac:dyDescent="0.25">
      <c r="A165" t="s">
        <v>16</v>
      </c>
      <c r="B165">
        <v>674</v>
      </c>
      <c r="C165">
        <v>40</v>
      </c>
    </row>
    <row r="166" spans="1:3" x14ac:dyDescent="0.25">
      <c r="A166" t="s">
        <v>28</v>
      </c>
      <c r="B166">
        <v>462</v>
      </c>
      <c r="C166">
        <v>7</v>
      </c>
    </row>
    <row r="167" spans="1:3" x14ac:dyDescent="0.25">
      <c r="A167" t="s">
        <v>18</v>
      </c>
      <c r="B167">
        <v>7235</v>
      </c>
      <c r="C167">
        <v>60</v>
      </c>
    </row>
    <row r="168" spans="1:3" x14ac:dyDescent="0.25">
      <c r="A168" t="s">
        <v>20</v>
      </c>
      <c r="B168">
        <v>509</v>
      </c>
      <c r="C168">
        <v>21</v>
      </c>
    </row>
    <row r="169" spans="1:3" x14ac:dyDescent="0.25">
      <c r="A169" t="s">
        <v>34</v>
      </c>
      <c r="B169">
        <v>3297</v>
      </c>
      <c r="C169">
        <v>58</v>
      </c>
    </row>
    <row r="170" spans="1:3" x14ac:dyDescent="0.25">
      <c r="A170" t="s">
        <v>34</v>
      </c>
      <c r="B170">
        <v>24</v>
      </c>
      <c r="C170">
        <v>0</v>
      </c>
    </row>
    <row r="171" spans="1:3" x14ac:dyDescent="0.25">
      <c r="A171" t="s">
        <v>20</v>
      </c>
      <c r="B171">
        <v>874</v>
      </c>
      <c r="C171">
        <v>18</v>
      </c>
    </row>
    <row r="172" spans="1:3" x14ac:dyDescent="0.25">
      <c r="A172" t="s">
        <v>24</v>
      </c>
      <c r="B172">
        <v>148</v>
      </c>
      <c r="C172">
        <v>8</v>
      </c>
    </row>
    <row r="173" spans="1:3" x14ac:dyDescent="0.25">
      <c r="A173" t="s">
        <v>16</v>
      </c>
      <c r="B173">
        <v>1455</v>
      </c>
      <c r="C173">
        <v>50</v>
      </c>
    </row>
    <row r="174" spans="1:3" x14ac:dyDescent="0.25">
      <c r="A174" t="s">
        <v>18</v>
      </c>
      <c r="B174">
        <v>227019</v>
      </c>
      <c r="C174">
        <v>5630</v>
      </c>
    </row>
    <row r="175" spans="1:3" x14ac:dyDescent="0.25">
      <c r="A175" t="s">
        <v>24</v>
      </c>
      <c r="B175">
        <v>4290259</v>
      </c>
      <c r="C175">
        <v>148011</v>
      </c>
    </row>
    <row r="176" spans="1:3" x14ac:dyDescent="0.25">
      <c r="A176" t="s">
        <v>20</v>
      </c>
      <c r="B176">
        <v>1128</v>
      </c>
      <c r="C176">
        <v>2</v>
      </c>
    </row>
    <row r="177" spans="1:3" x14ac:dyDescent="0.25">
      <c r="A177" t="s">
        <v>18</v>
      </c>
      <c r="B177">
        <v>67096</v>
      </c>
      <c r="C177">
        <v>1636</v>
      </c>
    </row>
    <row r="178" spans="1:3" x14ac:dyDescent="0.25">
      <c r="A178" t="s">
        <v>16</v>
      </c>
      <c r="B178">
        <v>59177</v>
      </c>
      <c r="C178">
        <v>345</v>
      </c>
    </row>
    <row r="179" spans="1:3" x14ac:dyDescent="0.25">
      <c r="A179" t="s">
        <v>18</v>
      </c>
      <c r="B179">
        <v>301708</v>
      </c>
      <c r="C179">
        <v>45844</v>
      </c>
    </row>
    <row r="180" spans="1:3" x14ac:dyDescent="0.25">
      <c r="A180" t="s">
        <v>24</v>
      </c>
      <c r="B180">
        <v>1202</v>
      </c>
      <c r="C180">
        <v>35</v>
      </c>
    </row>
    <row r="181" spans="1:3" x14ac:dyDescent="0.25">
      <c r="A181" t="s">
        <v>18</v>
      </c>
      <c r="B181">
        <v>21209</v>
      </c>
      <c r="C181">
        <v>121</v>
      </c>
    </row>
    <row r="182" spans="1:3" x14ac:dyDescent="0.25">
      <c r="A182" t="s">
        <v>24</v>
      </c>
      <c r="B182">
        <v>15988</v>
      </c>
      <c r="C182">
        <v>146</v>
      </c>
    </row>
    <row r="183" spans="1:3" x14ac:dyDescent="0.25">
      <c r="A183" t="s">
        <v>28</v>
      </c>
      <c r="B183">
        <v>431</v>
      </c>
      <c r="C183">
        <v>0</v>
      </c>
    </row>
    <row r="184" spans="1:3" x14ac:dyDescent="0.25">
      <c r="A184" t="s">
        <v>16</v>
      </c>
      <c r="B184">
        <v>10621</v>
      </c>
      <c r="C184">
        <v>78</v>
      </c>
    </row>
    <row r="185" spans="1:3" x14ac:dyDescent="0.25">
      <c r="A185" t="s">
        <v>20</v>
      </c>
      <c r="B185">
        <v>10</v>
      </c>
      <c r="C185">
        <v>1</v>
      </c>
    </row>
    <row r="186" spans="1:3" x14ac:dyDescent="0.25">
      <c r="A186" t="s">
        <v>16</v>
      </c>
      <c r="B186">
        <v>1691</v>
      </c>
      <c r="C186">
        <v>483</v>
      </c>
    </row>
    <row r="187" spans="1:3" x14ac:dyDescent="0.25">
      <c r="A187" t="s">
        <v>20</v>
      </c>
      <c r="B187">
        <v>4552</v>
      </c>
      <c r="C187">
        <v>140</v>
      </c>
    </row>
    <row r="188" spans="1:3" x14ac:dyDescent="0.25">
      <c r="A188" t="s">
        <v>20</v>
      </c>
      <c r="B188">
        <v>2704</v>
      </c>
      <c r="C188">
        <v>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C7FE-BB3B-4D32-A2C5-F10C842BD016}">
  <dimension ref="A1:C188"/>
  <sheetViews>
    <sheetView workbookViewId="0">
      <selection activeCell="G35" sqref="G35"/>
    </sheetView>
  </sheetViews>
  <sheetFormatPr defaultRowHeight="15" x14ac:dyDescent="0.25"/>
  <cols>
    <col min="1" max="1" width="21.7109375" bestFit="1" customWidth="1"/>
    <col min="2" max="3" width="15" bestFit="1" customWidth="1"/>
  </cols>
  <sheetData>
    <row r="1" spans="1:3" x14ac:dyDescent="0.25">
      <c r="A1" s="1" t="s">
        <v>14</v>
      </c>
      <c r="B1" s="1" t="s">
        <v>1</v>
      </c>
      <c r="C1" s="1" t="s">
        <v>3</v>
      </c>
    </row>
    <row r="2" spans="1:3" x14ac:dyDescent="0.25">
      <c r="A2" t="s">
        <v>24</v>
      </c>
      <c r="B2">
        <v>4290259</v>
      </c>
      <c r="C2">
        <v>1325804</v>
      </c>
    </row>
    <row r="3" spans="1:3" x14ac:dyDescent="0.25">
      <c r="A3" t="s">
        <v>24</v>
      </c>
      <c r="B3">
        <v>2442375</v>
      </c>
      <c r="C3">
        <v>1846641</v>
      </c>
    </row>
    <row r="4" spans="1:3" x14ac:dyDescent="0.25">
      <c r="A4" t="s">
        <v>34</v>
      </c>
      <c r="B4">
        <v>1480073</v>
      </c>
      <c r="C4">
        <v>951166</v>
      </c>
    </row>
    <row r="5" spans="1:3" x14ac:dyDescent="0.25">
      <c r="A5" t="s">
        <v>18</v>
      </c>
      <c r="B5">
        <v>816680</v>
      </c>
      <c r="C5">
        <v>602249</v>
      </c>
    </row>
    <row r="6" spans="1:3" x14ac:dyDescent="0.25">
      <c r="A6" t="s">
        <v>20</v>
      </c>
      <c r="B6">
        <v>452529</v>
      </c>
      <c r="C6">
        <v>274925</v>
      </c>
    </row>
    <row r="7" spans="1:3" x14ac:dyDescent="0.25">
      <c r="A7" t="s">
        <v>24</v>
      </c>
      <c r="B7">
        <v>395489</v>
      </c>
      <c r="C7">
        <v>303810</v>
      </c>
    </row>
    <row r="8" spans="1:3" x14ac:dyDescent="0.25">
      <c r="A8" t="s">
        <v>24</v>
      </c>
      <c r="B8">
        <v>389717</v>
      </c>
      <c r="C8">
        <v>272547</v>
      </c>
    </row>
    <row r="9" spans="1:3" x14ac:dyDescent="0.25">
      <c r="A9" t="s">
        <v>24</v>
      </c>
      <c r="B9">
        <v>347923</v>
      </c>
      <c r="C9">
        <v>319954</v>
      </c>
    </row>
    <row r="10" spans="1:3" x14ac:dyDescent="0.25">
      <c r="A10" t="s">
        <v>18</v>
      </c>
      <c r="B10">
        <v>301708</v>
      </c>
      <c r="C10">
        <v>1437</v>
      </c>
    </row>
    <row r="11" spans="1:3" x14ac:dyDescent="0.25">
      <c r="A11" t="s">
        <v>16</v>
      </c>
      <c r="B11">
        <v>293606</v>
      </c>
      <c r="C11">
        <v>255144</v>
      </c>
    </row>
    <row r="12" spans="1:3" x14ac:dyDescent="0.25">
      <c r="A12" t="s">
        <v>16</v>
      </c>
      <c r="B12">
        <v>274289</v>
      </c>
      <c r="C12">
        <v>241026</v>
      </c>
    </row>
    <row r="13" spans="1:3" x14ac:dyDescent="0.25">
      <c r="A13" t="s">
        <v>18</v>
      </c>
      <c r="B13">
        <v>272421</v>
      </c>
      <c r="C13">
        <v>150376</v>
      </c>
    </row>
    <row r="14" spans="1:3" x14ac:dyDescent="0.25">
      <c r="A14" t="s">
        <v>16</v>
      </c>
      <c r="B14">
        <v>268934</v>
      </c>
      <c r="C14">
        <v>222936</v>
      </c>
    </row>
    <row r="15" spans="1:3" x14ac:dyDescent="0.25">
      <c r="A15" t="s">
        <v>24</v>
      </c>
      <c r="B15">
        <v>257101</v>
      </c>
      <c r="C15">
        <v>131161</v>
      </c>
    </row>
    <row r="16" spans="1:3" x14ac:dyDescent="0.25">
      <c r="A16" t="s">
        <v>18</v>
      </c>
      <c r="B16">
        <v>246286</v>
      </c>
      <c r="C16">
        <v>198593</v>
      </c>
    </row>
    <row r="17" spans="1:3" x14ac:dyDescent="0.25">
      <c r="A17" t="s">
        <v>18</v>
      </c>
      <c r="B17">
        <v>227019</v>
      </c>
      <c r="C17">
        <v>210469</v>
      </c>
    </row>
    <row r="18" spans="1:3" x14ac:dyDescent="0.25">
      <c r="A18" t="s">
        <v>34</v>
      </c>
      <c r="B18">
        <v>226225</v>
      </c>
      <c r="C18">
        <v>125683</v>
      </c>
    </row>
    <row r="19" spans="1:3" x14ac:dyDescent="0.25">
      <c r="A19" t="s">
        <v>18</v>
      </c>
      <c r="B19">
        <v>220352</v>
      </c>
      <c r="C19">
        <v>81212</v>
      </c>
    </row>
    <row r="20" spans="1:3" x14ac:dyDescent="0.25">
      <c r="A20" t="s">
        <v>18</v>
      </c>
      <c r="B20">
        <v>207112</v>
      </c>
      <c r="C20">
        <v>190314</v>
      </c>
    </row>
    <row r="21" spans="1:3" x14ac:dyDescent="0.25">
      <c r="A21" t="s">
        <v>24</v>
      </c>
      <c r="B21">
        <v>167416</v>
      </c>
      <c r="C21">
        <v>72575</v>
      </c>
    </row>
    <row r="22" spans="1:3" x14ac:dyDescent="0.25">
      <c r="A22" t="s">
        <v>24</v>
      </c>
      <c r="B22">
        <v>116458</v>
      </c>
      <c r="C22">
        <v>0</v>
      </c>
    </row>
    <row r="23" spans="1:3" x14ac:dyDescent="0.25">
      <c r="A23" t="s">
        <v>16</v>
      </c>
      <c r="B23">
        <v>112585</v>
      </c>
      <c r="C23">
        <v>77144</v>
      </c>
    </row>
    <row r="24" spans="1:3" x14ac:dyDescent="0.25">
      <c r="A24" t="s">
        <v>16</v>
      </c>
      <c r="B24">
        <v>109597</v>
      </c>
      <c r="C24">
        <v>106328</v>
      </c>
    </row>
    <row r="25" spans="1:3" x14ac:dyDescent="0.25">
      <c r="A25" t="s">
        <v>34</v>
      </c>
      <c r="B25">
        <v>100303</v>
      </c>
      <c r="C25">
        <v>58173</v>
      </c>
    </row>
    <row r="26" spans="1:3" x14ac:dyDescent="0.25">
      <c r="A26" t="s">
        <v>16</v>
      </c>
      <c r="B26">
        <v>92482</v>
      </c>
      <c r="C26">
        <v>34838</v>
      </c>
    </row>
    <row r="27" spans="1:3" x14ac:dyDescent="0.25">
      <c r="A27" t="s">
        <v>28</v>
      </c>
      <c r="B27">
        <v>86783</v>
      </c>
      <c r="C27">
        <v>78869</v>
      </c>
    </row>
    <row r="28" spans="1:3" x14ac:dyDescent="0.25">
      <c r="A28" t="s">
        <v>18</v>
      </c>
      <c r="B28">
        <v>84648</v>
      </c>
      <c r="C28">
        <v>54404</v>
      </c>
    </row>
    <row r="29" spans="1:3" x14ac:dyDescent="0.25">
      <c r="A29" t="s">
        <v>28</v>
      </c>
      <c r="B29">
        <v>82040</v>
      </c>
      <c r="C29">
        <v>26446</v>
      </c>
    </row>
    <row r="30" spans="1:3" x14ac:dyDescent="0.25">
      <c r="A30" t="s">
        <v>24</v>
      </c>
      <c r="B30">
        <v>81161</v>
      </c>
      <c r="C30">
        <v>34896</v>
      </c>
    </row>
    <row r="31" spans="1:3" x14ac:dyDescent="0.25">
      <c r="A31" t="s">
        <v>18</v>
      </c>
      <c r="B31">
        <v>79395</v>
      </c>
      <c r="C31">
        <v>0</v>
      </c>
    </row>
    <row r="32" spans="1:3" x14ac:dyDescent="0.25">
      <c r="A32" t="s">
        <v>16</v>
      </c>
      <c r="B32">
        <v>77058</v>
      </c>
      <c r="C32">
        <v>57028</v>
      </c>
    </row>
    <row r="33" spans="1:3" x14ac:dyDescent="0.25">
      <c r="A33" t="s">
        <v>24</v>
      </c>
      <c r="B33">
        <v>71181</v>
      </c>
      <c r="C33">
        <v>21478</v>
      </c>
    </row>
    <row r="34" spans="1:3" x14ac:dyDescent="0.25">
      <c r="A34" t="s">
        <v>18</v>
      </c>
      <c r="B34">
        <v>67251</v>
      </c>
      <c r="C34">
        <v>60492</v>
      </c>
    </row>
    <row r="35" spans="1:3" x14ac:dyDescent="0.25">
      <c r="A35" t="s">
        <v>18</v>
      </c>
      <c r="B35">
        <v>67096</v>
      </c>
      <c r="C35">
        <v>37202</v>
      </c>
    </row>
    <row r="36" spans="1:3" x14ac:dyDescent="0.25">
      <c r="A36" t="s">
        <v>18</v>
      </c>
      <c r="B36">
        <v>66428</v>
      </c>
      <c r="C36">
        <v>17452</v>
      </c>
    </row>
    <row r="37" spans="1:3" x14ac:dyDescent="0.25">
      <c r="A37" t="s">
        <v>16</v>
      </c>
      <c r="B37">
        <v>64379</v>
      </c>
      <c r="C37">
        <v>55057</v>
      </c>
    </row>
    <row r="38" spans="1:3" x14ac:dyDescent="0.25">
      <c r="A38" t="s">
        <v>24</v>
      </c>
      <c r="B38">
        <v>64156</v>
      </c>
      <c r="C38">
        <v>30204</v>
      </c>
    </row>
    <row r="39" spans="1:3" x14ac:dyDescent="0.25">
      <c r="A39" t="s">
        <v>18</v>
      </c>
      <c r="B39">
        <v>63985</v>
      </c>
      <c r="C39">
        <v>27133</v>
      </c>
    </row>
    <row r="40" spans="1:3" x14ac:dyDescent="0.25">
      <c r="A40" t="s">
        <v>24</v>
      </c>
      <c r="B40">
        <v>61442</v>
      </c>
      <c r="C40">
        <v>35086</v>
      </c>
    </row>
    <row r="41" spans="1:3" x14ac:dyDescent="0.25">
      <c r="A41" t="s">
        <v>16</v>
      </c>
      <c r="B41">
        <v>59177</v>
      </c>
      <c r="C41">
        <v>52510</v>
      </c>
    </row>
    <row r="42" spans="1:3" x14ac:dyDescent="0.25">
      <c r="A42" t="s">
        <v>18</v>
      </c>
      <c r="B42">
        <v>53413</v>
      </c>
      <c r="C42">
        <v>189</v>
      </c>
    </row>
    <row r="43" spans="1:3" x14ac:dyDescent="0.25">
      <c r="A43" t="s">
        <v>28</v>
      </c>
      <c r="B43">
        <v>50838</v>
      </c>
      <c r="C43">
        <v>45692</v>
      </c>
    </row>
    <row r="44" spans="1:3" x14ac:dyDescent="0.25">
      <c r="A44" t="s">
        <v>18</v>
      </c>
      <c r="B44">
        <v>50299</v>
      </c>
      <c r="C44">
        <v>35375</v>
      </c>
    </row>
    <row r="45" spans="1:3" x14ac:dyDescent="0.25">
      <c r="A45" t="s">
        <v>18</v>
      </c>
      <c r="B45">
        <v>45902</v>
      </c>
      <c r="C45">
        <v>25794</v>
      </c>
    </row>
    <row r="46" spans="1:3" x14ac:dyDescent="0.25">
      <c r="A46" t="s">
        <v>24</v>
      </c>
      <c r="B46">
        <v>45309</v>
      </c>
      <c r="C46">
        <v>32455</v>
      </c>
    </row>
    <row r="47" spans="1:3" x14ac:dyDescent="0.25">
      <c r="A47" t="s">
        <v>18</v>
      </c>
      <c r="B47">
        <v>43402</v>
      </c>
      <c r="C47">
        <v>32856</v>
      </c>
    </row>
    <row r="48" spans="1:3" x14ac:dyDescent="0.25">
      <c r="A48" t="s">
        <v>20</v>
      </c>
      <c r="B48">
        <v>41180</v>
      </c>
      <c r="C48">
        <v>18203</v>
      </c>
    </row>
    <row r="49" spans="1:3" x14ac:dyDescent="0.25">
      <c r="A49" t="s">
        <v>24</v>
      </c>
      <c r="B49">
        <v>39741</v>
      </c>
      <c r="C49">
        <v>5039</v>
      </c>
    </row>
    <row r="50" spans="1:3" x14ac:dyDescent="0.25">
      <c r="A50" t="s">
        <v>16</v>
      </c>
      <c r="B50">
        <v>39482</v>
      </c>
      <c r="C50">
        <v>36110</v>
      </c>
    </row>
    <row r="51" spans="1:3" x14ac:dyDescent="0.25">
      <c r="A51" t="s">
        <v>18</v>
      </c>
      <c r="B51">
        <v>37390</v>
      </c>
      <c r="C51">
        <v>26665</v>
      </c>
    </row>
    <row r="52" spans="1:3" x14ac:dyDescent="0.25">
      <c r="A52" t="s">
        <v>16</v>
      </c>
      <c r="B52">
        <v>36263</v>
      </c>
      <c r="C52">
        <v>25198</v>
      </c>
    </row>
    <row r="53" spans="1:3" x14ac:dyDescent="0.25">
      <c r="A53" t="s">
        <v>18</v>
      </c>
      <c r="B53">
        <v>34477</v>
      </c>
      <c r="C53">
        <v>30900</v>
      </c>
    </row>
    <row r="54" spans="1:3" x14ac:dyDescent="0.25">
      <c r="A54" t="s">
        <v>20</v>
      </c>
      <c r="B54">
        <v>33624</v>
      </c>
      <c r="C54">
        <v>29801</v>
      </c>
    </row>
    <row r="55" spans="1:3" x14ac:dyDescent="0.25">
      <c r="A55" t="s">
        <v>18</v>
      </c>
      <c r="B55">
        <v>33296</v>
      </c>
      <c r="C55">
        <v>21205</v>
      </c>
    </row>
    <row r="56" spans="1:3" x14ac:dyDescent="0.25">
      <c r="A56" t="s">
        <v>28</v>
      </c>
      <c r="B56">
        <v>31142</v>
      </c>
      <c r="C56">
        <v>21970</v>
      </c>
    </row>
    <row r="57" spans="1:3" x14ac:dyDescent="0.25">
      <c r="A57" t="s">
        <v>18</v>
      </c>
      <c r="B57">
        <v>30446</v>
      </c>
      <c r="C57">
        <v>23242</v>
      </c>
    </row>
    <row r="58" spans="1:3" x14ac:dyDescent="0.25">
      <c r="A58" t="s">
        <v>20</v>
      </c>
      <c r="B58">
        <v>27973</v>
      </c>
      <c r="C58">
        <v>18837</v>
      </c>
    </row>
    <row r="59" spans="1:3" x14ac:dyDescent="0.25">
      <c r="A59" t="s">
        <v>18</v>
      </c>
      <c r="B59">
        <v>25892</v>
      </c>
      <c r="C59">
        <v>23364</v>
      </c>
    </row>
    <row r="60" spans="1:3" x14ac:dyDescent="0.25">
      <c r="A60" t="s">
        <v>18</v>
      </c>
      <c r="B60">
        <v>24141</v>
      </c>
      <c r="C60">
        <v>0</v>
      </c>
    </row>
    <row r="61" spans="1:3" x14ac:dyDescent="0.25">
      <c r="A61" t="s">
        <v>18</v>
      </c>
      <c r="B61">
        <v>23154</v>
      </c>
      <c r="C61">
        <v>16154</v>
      </c>
    </row>
    <row r="62" spans="1:3" x14ac:dyDescent="0.25">
      <c r="A62" t="s">
        <v>18</v>
      </c>
      <c r="B62">
        <v>21209</v>
      </c>
      <c r="C62">
        <v>11674</v>
      </c>
    </row>
    <row r="63" spans="1:3" x14ac:dyDescent="0.25">
      <c r="A63" t="s">
        <v>16</v>
      </c>
      <c r="B63">
        <v>20887</v>
      </c>
      <c r="C63">
        <v>16553</v>
      </c>
    </row>
    <row r="64" spans="1:3" x14ac:dyDescent="0.25">
      <c r="A64" t="s">
        <v>18</v>
      </c>
      <c r="B64">
        <v>20558</v>
      </c>
      <c r="C64">
        <v>18246</v>
      </c>
    </row>
    <row r="65" spans="1:3" x14ac:dyDescent="0.25">
      <c r="A65" t="s">
        <v>34</v>
      </c>
      <c r="B65">
        <v>18752</v>
      </c>
      <c r="C65">
        <v>13754</v>
      </c>
    </row>
    <row r="66" spans="1:3" x14ac:dyDescent="0.25">
      <c r="A66" t="s">
        <v>20</v>
      </c>
      <c r="B66">
        <v>17975</v>
      </c>
      <c r="C66">
        <v>7833</v>
      </c>
    </row>
    <row r="67" spans="1:3" x14ac:dyDescent="0.25">
      <c r="A67" t="s">
        <v>20</v>
      </c>
      <c r="B67">
        <v>17110</v>
      </c>
      <c r="C67">
        <v>14539</v>
      </c>
    </row>
    <row r="68" spans="1:3" x14ac:dyDescent="0.25">
      <c r="A68" t="s">
        <v>24</v>
      </c>
      <c r="B68">
        <v>15988</v>
      </c>
      <c r="C68">
        <v>9959</v>
      </c>
    </row>
    <row r="69" spans="1:3" x14ac:dyDescent="0.25">
      <c r="A69" t="s">
        <v>24</v>
      </c>
      <c r="B69">
        <v>15841</v>
      </c>
      <c r="C69">
        <v>3824</v>
      </c>
    </row>
    <row r="70" spans="1:3" x14ac:dyDescent="0.25">
      <c r="A70" t="s">
        <v>20</v>
      </c>
      <c r="B70">
        <v>15655</v>
      </c>
      <c r="C70">
        <v>10361</v>
      </c>
    </row>
    <row r="71" spans="1:3" x14ac:dyDescent="0.25">
      <c r="A71" t="s">
        <v>18</v>
      </c>
      <c r="B71">
        <v>15516</v>
      </c>
      <c r="C71">
        <v>11428</v>
      </c>
    </row>
    <row r="72" spans="1:3" x14ac:dyDescent="0.25">
      <c r="A72" t="s">
        <v>28</v>
      </c>
      <c r="B72">
        <v>15303</v>
      </c>
      <c r="C72">
        <v>9311</v>
      </c>
    </row>
    <row r="73" spans="1:3" x14ac:dyDescent="0.25">
      <c r="A73" t="s">
        <v>24</v>
      </c>
      <c r="B73">
        <v>15035</v>
      </c>
      <c r="C73">
        <v>7778</v>
      </c>
    </row>
    <row r="74" spans="1:3" x14ac:dyDescent="0.25">
      <c r="A74" t="s">
        <v>20</v>
      </c>
      <c r="B74">
        <v>14547</v>
      </c>
      <c r="C74">
        <v>6386</v>
      </c>
    </row>
    <row r="75" spans="1:3" x14ac:dyDescent="0.25">
      <c r="A75" t="s">
        <v>28</v>
      </c>
      <c r="B75">
        <v>14203</v>
      </c>
      <c r="C75">
        <v>13007</v>
      </c>
    </row>
    <row r="76" spans="1:3" x14ac:dyDescent="0.25">
      <c r="A76" t="s">
        <v>18</v>
      </c>
      <c r="B76">
        <v>13761</v>
      </c>
      <c r="C76">
        <v>12605</v>
      </c>
    </row>
    <row r="77" spans="1:3" x14ac:dyDescent="0.25">
      <c r="A77" t="s">
        <v>16</v>
      </c>
      <c r="B77">
        <v>11424</v>
      </c>
      <c r="C77">
        <v>5939</v>
      </c>
    </row>
    <row r="78" spans="1:3" x14ac:dyDescent="0.25">
      <c r="A78" t="s">
        <v>18</v>
      </c>
      <c r="B78">
        <v>10621</v>
      </c>
      <c r="C78">
        <v>5585</v>
      </c>
    </row>
    <row r="79" spans="1:3" x14ac:dyDescent="0.25">
      <c r="A79" t="s">
        <v>16</v>
      </c>
      <c r="B79">
        <v>10621</v>
      </c>
      <c r="C79">
        <v>3752</v>
      </c>
    </row>
    <row r="80" spans="1:3" x14ac:dyDescent="0.25">
      <c r="A80" t="s">
        <v>18</v>
      </c>
      <c r="B80">
        <v>10498</v>
      </c>
      <c r="C80">
        <v>4930</v>
      </c>
    </row>
    <row r="81" spans="1:3" x14ac:dyDescent="0.25">
      <c r="A81" t="s">
        <v>18</v>
      </c>
      <c r="B81">
        <v>10213</v>
      </c>
      <c r="C81">
        <v>5564</v>
      </c>
    </row>
    <row r="82" spans="1:3" x14ac:dyDescent="0.25">
      <c r="A82" t="s">
        <v>20</v>
      </c>
      <c r="B82">
        <v>9764</v>
      </c>
      <c r="C82">
        <v>6477</v>
      </c>
    </row>
    <row r="83" spans="1:3" x14ac:dyDescent="0.25">
      <c r="A83" t="s">
        <v>20</v>
      </c>
      <c r="B83">
        <v>9690</v>
      </c>
      <c r="C83">
        <v>6260</v>
      </c>
    </row>
    <row r="84" spans="1:3" x14ac:dyDescent="0.25">
      <c r="A84" t="s">
        <v>18</v>
      </c>
      <c r="B84">
        <v>9132</v>
      </c>
      <c r="C84">
        <v>8752</v>
      </c>
    </row>
    <row r="85" spans="1:3" x14ac:dyDescent="0.25">
      <c r="A85" t="s">
        <v>28</v>
      </c>
      <c r="B85">
        <v>8904</v>
      </c>
      <c r="C85">
        <v>8601</v>
      </c>
    </row>
    <row r="86" spans="1:3" x14ac:dyDescent="0.25">
      <c r="A86" t="s">
        <v>20</v>
      </c>
      <c r="B86">
        <v>8844</v>
      </c>
      <c r="C86">
        <v>5700</v>
      </c>
    </row>
    <row r="87" spans="1:3" x14ac:dyDescent="0.25">
      <c r="A87" t="s">
        <v>18</v>
      </c>
      <c r="B87">
        <v>7413</v>
      </c>
      <c r="C87">
        <v>4027</v>
      </c>
    </row>
    <row r="88" spans="1:3" x14ac:dyDescent="0.25">
      <c r="A88" t="s">
        <v>18</v>
      </c>
      <c r="B88">
        <v>7398</v>
      </c>
      <c r="C88">
        <v>6920</v>
      </c>
    </row>
    <row r="89" spans="1:3" x14ac:dyDescent="0.25">
      <c r="A89" t="s">
        <v>24</v>
      </c>
      <c r="B89">
        <v>7340</v>
      </c>
      <c r="C89">
        <v>4365</v>
      </c>
    </row>
    <row r="90" spans="1:3" x14ac:dyDescent="0.25">
      <c r="A90" t="s">
        <v>18</v>
      </c>
      <c r="B90">
        <v>7235</v>
      </c>
      <c r="C90">
        <v>6028</v>
      </c>
    </row>
    <row r="91" spans="1:3" x14ac:dyDescent="0.25">
      <c r="A91" t="s">
        <v>20</v>
      </c>
      <c r="B91">
        <v>7189</v>
      </c>
      <c r="C91">
        <v>4682</v>
      </c>
    </row>
    <row r="92" spans="1:3" x14ac:dyDescent="0.25">
      <c r="A92" t="s">
        <v>20</v>
      </c>
      <c r="B92">
        <v>7055</v>
      </c>
      <c r="C92">
        <v>6257</v>
      </c>
    </row>
    <row r="93" spans="1:3" x14ac:dyDescent="0.25">
      <c r="A93" t="s">
        <v>18</v>
      </c>
      <c r="B93">
        <v>6321</v>
      </c>
      <c r="C93">
        <v>4825</v>
      </c>
    </row>
    <row r="94" spans="1:3" x14ac:dyDescent="0.25">
      <c r="A94" t="s">
        <v>20</v>
      </c>
      <c r="B94">
        <v>6208</v>
      </c>
      <c r="C94">
        <v>4653</v>
      </c>
    </row>
    <row r="95" spans="1:3" x14ac:dyDescent="0.25">
      <c r="A95" t="s">
        <v>16</v>
      </c>
      <c r="B95">
        <v>5059</v>
      </c>
      <c r="C95">
        <v>4977</v>
      </c>
    </row>
    <row r="96" spans="1:3" x14ac:dyDescent="0.25">
      <c r="A96" t="s">
        <v>18</v>
      </c>
      <c r="B96">
        <v>4881</v>
      </c>
      <c r="C96">
        <v>3936</v>
      </c>
    </row>
    <row r="97" spans="1:3" x14ac:dyDescent="0.25">
      <c r="A97" t="s">
        <v>18</v>
      </c>
      <c r="B97">
        <v>4880</v>
      </c>
      <c r="C97">
        <v>2745</v>
      </c>
    </row>
    <row r="98" spans="1:3" x14ac:dyDescent="0.25">
      <c r="A98" t="s">
        <v>20</v>
      </c>
      <c r="B98">
        <v>4599</v>
      </c>
      <c r="C98">
        <v>1546</v>
      </c>
    </row>
    <row r="99" spans="1:3" x14ac:dyDescent="0.25">
      <c r="A99" t="s">
        <v>20</v>
      </c>
      <c r="B99">
        <v>4552</v>
      </c>
      <c r="C99">
        <v>2815</v>
      </c>
    </row>
    <row r="100" spans="1:3" x14ac:dyDescent="0.25">
      <c r="A100" t="s">
        <v>24</v>
      </c>
      <c r="B100">
        <v>4548</v>
      </c>
      <c r="C100">
        <v>2905</v>
      </c>
    </row>
    <row r="101" spans="1:3" x14ac:dyDescent="0.25">
      <c r="A101" t="s">
        <v>18</v>
      </c>
      <c r="B101">
        <v>4448</v>
      </c>
      <c r="C101">
        <v>3329</v>
      </c>
    </row>
    <row r="102" spans="1:3" x14ac:dyDescent="0.25">
      <c r="A102" t="s">
        <v>18</v>
      </c>
      <c r="B102">
        <v>4227</v>
      </c>
      <c r="C102">
        <v>1374</v>
      </c>
    </row>
    <row r="103" spans="1:3" x14ac:dyDescent="0.25">
      <c r="A103" t="s">
        <v>16</v>
      </c>
      <c r="B103">
        <v>3882</v>
      </c>
      <c r="C103">
        <v>1709</v>
      </c>
    </row>
    <row r="104" spans="1:3" x14ac:dyDescent="0.25">
      <c r="A104" t="s">
        <v>20</v>
      </c>
      <c r="B104">
        <v>3664</v>
      </c>
      <c r="C104">
        <v>1645</v>
      </c>
    </row>
    <row r="105" spans="1:3" x14ac:dyDescent="0.25">
      <c r="A105" t="s">
        <v>24</v>
      </c>
      <c r="B105">
        <v>3439</v>
      </c>
      <c r="C105">
        <v>2492</v>
      </c>
    </row>
    <row r="106" spans="1:3" x14ac:dyDescent="0.25">
      <c r="A106" t="s">
        <v>34</v>
      </c>
      <c r="B106">
        <v>3369</v>
      </c>
      <c r="C106">
        <v>2547</v>
      </c>
    </row>
    <row r="107" spans="1:3" x14ac:dyDescent="0.25">
      <c r="A107" t="s">
        <v>34</v>
      </c>
      <c r="B107">
        <v>3297</v>
      </c>
      <c r="C107">
        <v>3111</v>
      </c>
    </row>
    <row r="108" spans="1:3" x14ac:dyDescent="0.25">
      <c r="A108" t="s">
        <v>20</v>
      </c>
      <c r="B108">
        <v>3200</v>
      </c>
      <c r="C108">
        <v>829</v>
      </c>
    </row>
    <row r="109" spans="1:3" x14ac:dyDescent="0.25">
      <c r="A109" t="s">
        <v>16</v>
      </c>
      <c r="B109">
        <v>3196</v>
      </c>
      <c r="C109">
        <v>1543</v>
      </c>
    </row>
    <row r="110" spans="1:3" x14ac:dyDescent="0.25">
      <c r="A110" t="s">
        <v>20</v>
      </c>
      <c r="B110">
        <v>3071</v>
      </c>
      <c r="C110">
        <v>842</v>
      </c>
    </row>
    <row r="111" spans="1:3" x14ac:dyDescent="0.25">
      <c r="A111" t="s">
        <v>18</v>
      </c>
      <c r="B111">
        <v>2893</v>
      </c>
      <c r="C111">
        <v>809</v>
      </c>
    </row>
    <row r="112" spans="1:3" x14ac:dyDescent="0.25">
      <c r="A112" t="s">
        <v>16</v>
      </c>
      <c r="B112">
        <v>2827</v>
      </c>
      <c r="C112">
        <v>577</v>
      </c>
    </row>
    <row r="113" spans="1:3" x14ac:dyDescent="0.25">
      <c r="A113" t="s">
        <v>34</v>
      </c>
      <c r="B113">
        <v>2805</v>
      </c>
      <c r="C113">
        <v>2121</v>
      </c>
    </row>
    <row r="114" spans="1:3" x14ac:dyDescent="0.25">
      <c r="A114" t="s">
        <v>20</v>
      </c>
      <c r="B114">
        <v>2704</v>
      </c>
      <c r="C114">
        <v>542</v>
      </c>
    </row>
    <row r="115" spans="1:3" x14ac:dyDescent="0.25">
      <c r="A115" t="s">
        <v>24</v>
      </c>
      <c r="B115">
        <v>2532</v>
      </c>
      <c r="C115">
        <v>2351</v>
      </c>
    </row>
    <row r="116" spans="1:3" x14ac:dyDescent="0.25">
      <c r="A116" t="s">
        <v>20</v>
      </c>
      <c r="B116">
        <v>2513</v>
      </c>
      <c r="C116">
        <v>1913</v>
      </c>
    </row>
    <row r="117" spans="1:3" x14ac:dyDescent="0.25">
      <c r="A117" t="s">
        <v>20</v>
      </c>
      <c r="B117">
        <v>2328</v>
      </c>
      <c r="C117">
        <v>1550</v>
      </c>
    </row>
    <row r="118" spans="1:3" x14ac:dyDescent="0.25">
      <c r="A118" t="s">
        <v>20</v>
      </c>
      <c r="B118">
        <v>2316</v>
      </c>
      <c r="C118">
        <v>1025</v>
      </c>
    </row>
    <row r="119" spans="1:3" x14ac:dyDescent="0.25">
      <c r="A119" t="s">
        <v>20</v>
      </c>
      <c r="B119">
        <v>2305</v>
      </c>
      <c r="C119">
        <v>1175</v>
      </c>
    </row>
    <row r="120" spans="1:3" x14ac:dyDescent="0.25">
      <c r="A120" t="s">
        <v>18</v>
      </c>
      <c r="B120">
        <v>2181</v>
      </c>
      <c r="C120">
        <v>1616</v>
      </c>
    </row>
    <row r="121" spans="1:3" x14ac:dyDescent="0.25">
      <c r="A121" t="s">
        <v>18</v>
      </c>
      <c r="B121">
        <v>2087</v>
      </c>
      <c r="C121">
        <v>1733</v>
      </c>
    </row>
    <row r="122" spans="1:3" x14ac:dyDescent="0.25">
      <c r="A122" t="s">
        <v>18</v>
      </c>
      <c r="B122">
        <v>2034</v>
      </c>
      <c r="C122">
        <v>1923</v>
      </c>
    </row>
    <row r="123" spans="1:3" x14ac:dyDescent="0.25">
      <c r="A123" t="s">
        <v>18</v>
      </c>
      <c r="B123">
        <v>2019</v>
      </c>
      <c r="C123">
        <v>1620</v>
      </c>
    </row>
    <row r="124" spans="1:3" x14ac:dyDescent="0.25">
      <c r="A124" t="s">
        <v>20</v>
      </c>
      <c r="B124">
        <v>1954</v>
      </c>
      <c r="C124">
        <v>803</v>
      </c>
    </row>
    <row r="125" spans="1:3" x14ac:dyDescent="0.25">
      <c r="A125" t="s">
        <v>20</v>
      </c>
      <c r="B125">
        <v>1879</v>
      </c>
      <c r="C125">
        <v>975</v>
      </c>
    </row>
    <row r="126" spans="1:3" x14ac:dyDescent="0.25">
      <c r="A126" t="s">
        <v>18</v>
      </c>
      <c r="B126">
        <v>1854</v>
      </c>
      <c r="C126">
        <v>1823</v>
      </c>
    </row>
    <row r="127" spans="1:3" x14ac:dyDescent="0.25">
      <c r="A127" t="s">
        <v>20</v>
      </c>
      <c r="B127">
        <v>1843</v>
      </c>
      <c r="C127">
        <v>101</v>
      </c>
    </row>
    <row r="128" spans="1:3" x14ac:dyDescent="0.25">
      <c r="A128" t="s">
        <v>20</v>
      </c>
      <c r="B128">
        <v>1783</v>
      </c>
      <c r="C128">
        <v>1317</v>
      </c>
    </row>
    <row r="129" spans="1:3" x14ac:dyDescent="0.25">
      <c r="A129" t="s">
        <v>20</v>
      </c>
      <c r="B129">
        <v>1770</v>
      </c>
      <c r="C129">
        <v>1036</v>
      </c>
    </row>
    <row r="130" spans="1:3" x14ac:dyDescent="0.25">
      <c r="A130" t="s">
        <v>20</v>
      </c>
      <c r="B130">
        <v>1701</v>
      </c>
      <c r="C130">
        <v>0</v>
      </c>
    </row>
    <row r="131" spans="1:3" x14ac:dyDescent="0.25">
      <c r="A131" t="s">
        <v>16</v>
      </c>
      <c r="B131">
        <v>1691</v>
      </c>
      <c r="C131">
        <v>833</v>
      </c>
    </row>
    <row r="132" spans="1:3" x14ac:dyDescent="0.25">
      <c r="A132" t="s">
        <v>28</v>
      </c>
      <c r="B132">
        <v>1557</v>
      </c>
      <c r="C132">
        <v>1514</v>
      </c>
    </row>
    <row r="133" spans="1:3" x14ac:dyDescent="0.25">
      <c r="A133" t="s">
        <v>24</v>
      </c>
      <c r="B133">
        <v>1483</v>
      </c>
      <c r="C133">
        <v>925</v>
      </c>
    </row>
    <row r="134" spans="1:3" x14ac:dyDescent="0.25">
      <c r="A134" t="s">
        <v>16</v>
      </c>
      <c r="B134">
        <v>1455</v>
      </c>
      <c r="C134">
        <v>1157</v>
      </c>
    </row>
    <row r="135" spans="1:3" x14ac:dyDescent="0.25">
      <c r="A135" t="s">
        <v>18</v>
      </c>
      <c r="B135">
        <v>1219</v>
      </c>
      <c r="C135">
        <v>1045</v>
      </c>
    </row>
    <row r="136" spans="1:3" x14ac:dyDescent="0.25">
      <c r="A136" t="s">
        <v>24</v>
      </c>
      <c r="B136">
        <v>1202</v>
      </c>
      <c r="C136">
        <v>951</v>
      </c>
    </row>
    <row r="137" spans="1:3" x14ac:dyDescent="0.25">
      <c r="A137" t="s">
        <v>16</v>
      </c>
      <c r="B137">
        <v>1176</v>
      </c>
      <c r="C137">
        <v>1041</v>
      </c>
    </row>
    <row r="138" spans="1:3" x14ac:dyDescent="0.25">
      <c r="A138" t="s">
        <v>20</v>
      </c>
      <c r="B138">
        <v>1167</v>
      </c>
      <c r="C138">
        <v>646</v>
      </c>
    </row>
    <row r="139" spans="1:3" x14ac:dyDescent="0.25">
      <c r="A139" t="s">
        <v>18</v>
      </c>
      <c r="B139">
        <v>1137</v>
      </c>
      <c r="C139">
        <v>922</v>
      </c>
    </row>
    <row r="140" spans="1:3" x14ac:dyDescent="0.25">
      <c r="A140" t="s">
        <v>20</v>
      </c>
      <c r="B140">
        <v>1132</v>
      </c>
      <c r="C140">
        <v>1027</v>
      </c>
    </row>
    <row r="141" spans="1:3" x14ac:dyDescent="0.25">
      <c r="A141" t="s">
        <v>20</v>
      </c>
      <c r="B141">
        <v>1128</v>
      </c>
      <c r="C141">
        <v>986</v>
      </c>
    </row>
    <row r="142" spans="1:3" x14ac:dyDescent="0.25">
      <c r="A142" t="s">
        <v>20</v>
      </c>
      <c r="B142">
        <v>1100</v>
      </c>
      <c r="C142">
        <v>926</v>
      </c>
    </row>
    <row r="143" spans="1:3" x14ac:dyDescent="0.25">
      <c r="A143" t="s">
        <v>18</v>
      </c>
      <c r="B143">
        <v>1060</v>
      </c>
      <c r="C143">
        <v>852</v>
      </c>
    </row>
    <row r="144" spans="1:3" x14ac:dyDescent="0.25">
      <c r="A144" t="s">
        <v>20</v>
      </c>
      <c r="B144">
        <v>950</v>
      </c>
      <c r="C144">
        <v>242</v>
      </c>
    </row>
    <row r="145" spans="1:3" x14ac:dyDescent="0.25">
      <c r="A145" t="s">
        <v>20</v>
      </c>
      <c r="B145">
        <v>922</v>
      </c>
      <c r="C145">
        <v>810</v>
      </c>
    </row>
    <row r="146" spans="1:3" x14ac:dyDescent="0.25">
      <c r="A146" t="s">
        <v>18</v>
      </c>
      <c r="B146">
        <v>907</v>
      </c>
      <c r="C146">
        <v>803</v>
      </c>
    </row>
    <row r="147" spans="1:3" x14ac:dyDescent="0.25">
      <c r="A147" t="s">
        <v>20</v>
      </c>
      <c r="B147">
        <v>874</v>
      </c>
      <c r="C147">
        <v>607</v>
      </c>
    </row>
    <row r="148" spans="1:3" x14ac:dyDescent="0.25">
      <c r="A148" t="s">
        <v>20</v>
      </c>
      <c r="B148">
        <v>865</v>
      </c>
      <c r="C148">
        <v>734</v>
      </c>
    </row>
    <row r="149" spans="1:3" x14ac:dyDescent="0.25">
      <c r="A149" t="s">
        <v>24</v>
      </c>
      <c r="B149">
        <v>853</v>
      </c>
      <c r="C149">
        <v>714</v>
      </c>
    </row>
    <row r="150" spans="1:3" x14ac:dyDescent="0.25">
      <c r="A150" t="s">
        <v>20</v>
      </c>
      <c r="B150">
        <v>739</v>
      </c>
      <c r="C150">
        <v>63</v>
      </c>
    </row>
    <row r="151" spans="1:3" x14ac:dyDescent="0.25">
      <c r="A151" t="s">
        <v>18</v>
      </c>
      <c r="B151">
        <v>701</v>
      </c>
      <c r="C151">
        <v>665</v>
      </c>
    </row>
    <row r="152" spans="1:3" x14ac:dyDescent="0.25">
      <c r="A152" t="s">
        <v>18</v>
      </c>
      <c r="B152">
        <v>699</v>
      </c>
      <c r="C152">
        <v>657</v>
      </c>
    </row>
    <row r="153" spans="1:3" x14ac:dyDescent="0.25">
      <c r="A153" t="s">
        <v>16</v>
      </c>
      <c r="B153">
        <v>674</v>
      </c>
      <c r="C153">
        <v>0</v>
      </c>
    </row>
    <row r="154" spans="1:3" x14ac:dyDescent="0.25">
      <c r="A154" t="s">
        <v>20</v>
      </c>
      <c r="B154">
        <v>509</v>
      </c>
      <c r="C154">
        <v>183</v>
      </c>
    </row>
    <row r="155" spans="1:3" x14ac:dyDescent="0.25">
      <c r="A155" t="s">
        <v>20</v>
      </c>
      <c r="B155">
        <v>505</v>
      </c>
      <c r="C155">
        <v>128</v>
      </c>
    </row>
    <row r="156" spans="1:3" x14ac:dyDescent="0.25">
      <c r="A156" t="s">
        <v>28</v>
      </c>
      <c r="B156">
        <v>462</v>
      </c>
      <c r="C156">
        <v>440</v>
      </c>
    </row>
    <row r="157" spans="1:3" x14ac:dyDescent="0.25">
      <c r="A157" t="s">
        <v>28</v>
      </c>
      <c r="B157">
        <v>431</v>
      </c>
      <c r="C157">
        <v>365</v>
      </c>
    </row>
    <row r="158" spans="1:3" x14ac:dyDescent="0.25">
      <c r="A158" t="s">
        <v>24</v>
      </c>
      <c r="B158">
        <v>389</v>
      </c>
      <c r="C158">
        <v>181</v>
      </c>
    </row>
    <row r="159" spans="1:3" x14ac:dyDescent="0.25">
      <c r="A159" t="s">
        <v>24</v>
      </c>
      <c r="B159">
        <v>382</v>
      </c>
      <c r="C159">
        <v>91</v>
      </c>
    </row>
    <row r="160" spans="1:3" x14ac:dyDescent="0.25">
      <c r="A160" t="s">
        <v>20</v>
      </c>
      <c r="B160">
        <v>378</v>
      </c>
      <c r="C160">
        <v>301</v>
      </c>
    </row>
    <row r="161" spans="1:3" x14ac:dyDescent="0.25">
      <c r="A161" t="s">
        <v>20</v>
      </c>
      <c r="B161">
        <v>354</v>
      </c>
      <c r="C161">
        <v>328</v>
      </c>
    </row>
    <row r="162" spans="1:3" x14ac:dyDescent="0.25">
      <c r="A162" t="s">
        <v>34</v>
      </c>
      <c r="B162">
        <v>350</v>
      </c>
      <c r="C162">
        <v>292</v>
      </c>
    </row>
    <row r="163" spans="1:3" x14ac:dyDescent="0.25">
      <c r="A163" t="s">
        <v>20</v>
      </c>
      <c r="B163">
        <v>344</v>
      </c>
      <c r="C163">
        <v>332</v>
      </c>
    </row>
    <row r="164" spans="1:3" x14ac:dyDescent="0.25">
      <c r="A164" t="s">
        <v>20</v>
      </c>
      <c r="B164">
        <v>326</v>
      </c>
      <c r="C164">
        <v>66</v>
      </c>
    </row>
    <row r="165" spans="1:3" x14ac:dyDescent="0.25">
      <c r="A165" t="s">
        <v>28</v>
      </c>
      <c r="B165">
        <v>289</v>
      </c>
      <c r="C165">
        <v>222</v>
      </c>
    </row>
    <row r="166" spans="1:3" x14ac:dyDescent="0.25">
      <c r="A166" t="s">
        <v>20</v>
      </c>
      <c r="B166">
        <v>265</v>
      </c>
      <c r="C166">
        <v>191</v>
      </c>
    </row>
    <row r="167" spans="1:3" x14ac:dyDescent="0.25">
      <c r="A167" t="s">
        <v>28</v>
      </c>
      <c r="B167">
        <v>226</v>
      </c>
      <c r="C167">
        <v>147</v>
      </c>
    </row>
    <row r="168" spans="1:3" x14ac:dyDescent="0.25">
      <c r="A168" t="s">
        <v>24</v>
      </c>
      <c r="B168">
        <v>148</v>
      </c>
      <c r="C168">
        <v>128</v>
      </c>
    </row>
    <row r="169" spans="1:3" x14ac:dyDescent="0.25">
      <c r="A169" t="s">
        <v>28</v>
      </c>
      <c r="B169">
        <v>141</v>
      </c>
      <c r="C169">
        <v>138</v>
      </c>
    </row>
    <row r="170" spans="1:3" x14ac:dyDescent="0.25">
      <c r="A170" t="s">
        <v>18</v>
      </c>
      <c r="B170">
        <v>116</v>
      </c>
      <c r="C170">
        <v>104</v>
      </c>
    </row>
    <row r="171" spans="1:3" x14ac:dyDescent="0.25">
      <c r="A171" t="s">
        <v>20</v>
      </c>
      <c r="B171">
        <v>114</v>
      </c>
      <c r="C171">
        <v>39</v>
      </c>
    </row>
    <row r="172" spans="1:3" x14ac:dyDescent="0.25">
      <c r="A172" t="s">
        <v>24</v>
      </c>
      <c r="B172">
        <v>110</v>
      </c>
      <c r="C172">
        <v>94</v>
      </c>
    </row>
    <row r="173" spans="1:3" x14ac:dyDescent="0.25">
      <c r="A173" t="s">
        <v>34</v>
      </c>
      <c r="B173">
        <v>99</v>
      </c>
      <c r="C173">
        <v>86</v>
      </c>
    </row>
    <row r="174" spans="1:3" x14ac:dyDescent="0.25">
      <c r="A174" t="s">
        <v>24</v>
      </c>
      <c r="B174">
        <v>86</v>
      </c>
      <c r="C174">
        <v>65</v>
      </c>
    </row>
    <row r="175" spans="1:3" x14ac:dyDescent="0.25">
      <c r="A175" t="s">
        <v>18</v>
      </c>
      <c r="B175">
        <v>86</v>
      </c>
      <c r="C175">
        <v>81</v>
      </c>
    </row>
    <row r="176" spans="1:3" x14ac:dyDescent="0.25">
      <c r="A176" t="s">
        <v>28</v>
      </c>
      <c r="B176">
        <v>62</v>
      </c>
      <c r="C176">
        <v>11</v>
      </c>
    </row>
    <row r="177" spans="1:3" x14ac:dyDescent="0.25">
      <c r="A177" t="s">
        <v>24</v>
      </c>
      <c r="B177">
        <v>52</v>
      </c>
      <c r="C177">
        <v>39</v>
      </c>
    </row>
    <row r="178" spans="1:3" x14ac:dyDescent="0.25">
      <c r="A178" t="s">
        <v>24</v>
      </c>
      <c r="B178">
        <v>48</v>
      </c>
      <c r="C178">
        <v>26</v>
      </c>
    </row>
    <row r="179" spans="1:3" x14ac:dyDescent="0.25">
      <c r="A179" t="s">
        <v>28</v>
      </c>
      <c r="B179">
        <v>27</v>
      </c>
      <c r="C179">
        <v>18</v>
      </c>
    </row>
    <row r="180" spans="1:3" x14ac:dyDescent="0.25">
      <c r="A180" t="s">
        <v>24</v>
      </c>
      <c r="B180">
        <v>24</v>
      </c>
      <c r="C180">
        <v>22</v>
      </c>
    </row>
    <row r="181" spans="1:3" x14ac:dyDescent="0.25">
      <c r="A181" t="s">
        <v>34</v>
      </c>
      <c r="B181">
        <v>24</v>
      </c>
      <c r="C181">
        <v>0</v>
      </c>
    </row>
    <row r="182" spans="1:3" x14ac:dyDescent="0.25">
      <c r="A182" t="s">
        <v>24</v>
      </c>
      <c r="B182">
        <v>23</v>
      </c>
      <c r="C182">
        <v>23</v>
      </c>
    </row>
    <row r="183" spans="1:3" x14ac:dyDescent="0.25">
      <c r="A183" t="s">
        <v>28</v>
      </c>
      <c r="B183">
        <v>20</v>
      </c>
      <c r="C183">
        <v>19</v>
      </c>
    </row>
    <row r="184" spans="1:3" x14ac:dyDescent="0.25">
      <c r="A184" t="s">
        <v>24</v>
      </c>
      <c r="B184">
        <v>18</v>
      </c>
      <c r="C184">
        <v>18</v>
      </c>
    </row>
    <row r="185" spans="1:3" x14ac:dyDescent="0.25">
      <c r="A185" t="s">
        <v>24</v>
      </c>
      <c r="B185">
        <v>17</v>
      </c>
      <c r="C185">
        <v>15</v>
      </c>
    </row>
    <row r="186" spans="1:3" x14ac:dyDescent="0.25">
      <c r="A186" t="s">
        <v>18</v>
      </c>
      <c r="B186">
        <v>14</v>
      </c>
      <c r="C186">
        <v>13</v>
      </c>
    </row>
    <row r="187" spans="1:3" x14ac:dyDescent="0.25">
      <c r="A187" t="s">
        <v>18</v>
      </c>
      <c r="B187">
        <v>12</v>
      </c>
      <c r="C187">
        <v>12</v>
      </c>
    </row>
    <row r="188" spans="1:3" x14ac:dyDescent="0.25">
      <c r="A188" t="s">
        <v>20</v>
      </c>
      <c r="B188">
        <v>10</v>
      </c>
      <c r="C188">
        <v>8</v>
      </c>
    </row>
  </sheetData>
  <conditionalFormatting sqref="B1:B1048576">
    <cfRule type="colorScale" priority="1">
      <colorScale>
        <cfvo type="min"/>
        <cfvo type="max"/>
        <color rgb="FFFF8BAC"/>
        <color rgb="FFF74779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BF30-8506-4C72-BE09-4C0B9D42F9D1}">
  <dimension ref="A1:C188"/>
  <sheetViews>
    <sheetView workbookViewId="0">
      <selection activeCell="G35" sqref="G35"/>
    </sheetView>
  </sheetViews>
  <sheetFormatPr defaultRowHeight="15" x14ac:dyDescent="0.25"/>
  <cols>
    <col min="1" max="1" width="21.7109375" bestFit="1" customWidth="1"/>
    <col min="2" max="2" width="15" bestFit="1" customWidth="1"/>
    <col min="3" max="3" width="11.140625" bestFit="1" customWidth="1"/>
  </cols>
  <sheetData>
    <row r="1" spans="1:3" x14ac:dyDescent="0.25">
      <c r="A1" s="1" t="s">
        <v>14</v>
      </c>
      <c r="B1" s="1" t="s">
        <v>1</v>
      </c>
      <c r="C1" s="1" t="s">
        <v>4</v>
      </c>
    </row>
    <row r="2" spans="1:3" x14ac:dyDescent="0.25">
      <c r="A2" t="s">
        <v>24</v>
      </c>
      <c r="B2">
        <v>4290259</v>
      </c>
      <c r="C2">
        <v>2816444</v>
      </c>
    </row>
    <row r="3" spans="1:3" x14ac:dyDescent="0.25">
      <c r="A3" t="s">
        <v>24</v>
      </c>
      <c r="B3">
        <v>2442375</v>
      </c>
      <c r="C3">
        <v>508116</v>
      </c>
    </row>
    <row r="4" spans="1:3" x14ac:dyDescent="0.25">
      <c r="A4" t="s">
        <v>34</v>
      </c>
      <c r="B4">
        <v>1480073</v>
      </c>
      <c r="C4">
        <v>495499</v>
      </c>
    </row>
    <row r="5" spans="1:3" x14ac:dyDescent="0.25">
      <c r="A5" t="s">
        <v>18</v>
      </c>
      <c r="B5">
        <v>816680</v>
      </c>
      <c r="C5">
        <v>201097</v>
      </c>
    </row>
    <row r="6" spans="1:3" x14ac:dyDescent="0.25">
      <c r="A6" t="s">
        <v>20</v>
      </c>
      <c r="B6">
        <v>452529</v>
      </c>
      <c r="C6">
        <v>170537</v>
      </c>
    </row>
    <row r="7" spans="1:3" x14ac:dyDescent="0.25">
      <c r="A7" t="s">
        <v>24</v>
      </c>
      <c r="B7">
        <v>395489</v>
      </c>
      <c r="C7">
        <v>47657</v>
      </c>
    </row>
    <row r="8" spans="1:3" x14ac:dyDescent="0.25">
      <c r="A8" t="s">
        <v>24</v>
      </c>
      <c r="B8">
        <v>389717</v>
      </c>
      <c r="C8">
        <v>98752</v>
      </c>
    </row>
    <row r="9" spans="1:3" x14ac:dyDescent="0.25">
      <c r="A9" t="s">
        <v>24</v>
      </c>
      <c r="B9">
        <v>347923</v>
      </c>
      <c r="C9">
        <v>18782</v>
      </c>
    </row>
    <row r="10" spans="1:3" x14ac:dyDescent="0.25">
      <c r="A10" t="s">
        <v>18</v>
      </c>
      <c r="B10">
        <v>301708</v>
      </c>
      <c r="C10">
        <v>254427</v>
      </c>
    </row>
    <row r="11" spans="1:3" x14ac:dyDescent="0.25">
      <c r="A11" t="s">
        <v>16</v>
      </c>
      <c r="B11">
        <v>293606</v>
      </c>
      <c r="C11">
        <v>22550</v>
      </c>
    </row>
    <row r="12" spans="1:3" x14ac:dyDescent="0.25">
      <c r="A12" t="s">
        <v>16</v>
      </c>
      <c r="B12">
        <v>274289</v>
      </c>
      <c r="C12">
        <v>27421</v>
      </c>
    </row>
    <row r="13" spans="1:3" x14ac:dyDescent="0.25">
      <c r="A13" t="s">
        <v>18</v>
      </c>
      <c r="B13">
        <v>272421</v>
      </c>
      <c r="C13">
        <v>93613</v>
      </c>
    </row>
    <row r="14" spans="1:3" x14ac:dyDescent="0.25">
      <c r="A14" t="s">
        <v>16</v>
      </c>
      <c r="B14">
        <v>268934</v>
      </c>
      <c r="C14">
        <v>43238</v>
      </c>
    </row>
    <row r="15" spans="1:3" x14ac:dyDescent="0.25">
      <c r="A15" t="s">
        <v>24</v>
      </c>
      <c r="B15">
        <v>257101</v>
      </c>
      <c r="C15">
        <v>117163</v>
      </c>
    </row>
    <row r="16" spans="1:3" x14ac:dyDescent="0.25">
      <c r="A16" t="s">
        <v>18</v>
      </c>
      <c r="B16">
        <v>246286</v>
      </c>
      <c r="C16">
        <v>12581</v>
      </c>
    </row>
    <row r="17" spans="1:3" x14ac:dyDescent="0.25">
      <c r="A17" t="s">
        <v>18</v>
      </c>
      <c r="B17">
        <v>227019</v>
      </c>
      <c r="C17">
        <v>10920</v>
      </c>
    </row>
    <row r="18" spans="1:3" x14ac:dyDescent="0.25">
      <c r="A18" t="s">
        <v>34</v>
      </c>
      <c r="B18">
        <v>226225</v>
      </c>
      <c r="C18">
        <v>97577</v>
      </c>
    </row>
    <row r="19" spans="1:3" x14ac:dyDescent="0.25">
      <c r="A19" t="s">
        <v>18</v>
      </c>
      <c r="B19">
        <v>220352</v>
      </c>
      <c r="C19">
        <v>108928</v>
      </c>
    </row>
    <row r="20" spans="1:3" x14ac:dyDescent="0.25">
      <c r="A20" t="s">
        <v>18</v>
      </c>
      <c r="B20">
        <v>207112</v>
      </c>
      <c r="C20">
        <v>7673</v>
      </c>
    </row>
    <row r="21" spans="1:3" x14ac:dyDescent="0.25">
      <c r="A21" t="s">
        <v>24</v>
      </c>
      <c r="B21">
        <v>167416</v>
      </c>
      <c r="C21">
        <v>91782</v>
      </c>
    </row>
    <row r="22" spans="1:3" x14ac:dyDescent="0.25">
      <c r="A22" t="s">
        <v>24</v>
      </c>
      <c r="B22">
        <v>116458</v>
      </c>
      <c r="C22">
        <v>107514</v>
      </c>
    </row>
    <row r="23" spans="1:3" x14ac:dyDescent="0.25">
      <c r="A23" t="s">
        <v>16</v>
      </c>
      <c r="B23">
        <v>112585</v>
      </c>
      <c r="C23">
        <v>30983</v>
      </c>
    </row>
    <row r="24" spans="1:3" x14ac:dyDescent="0.25">
      <c r="A24" t="s">
        <v>16</v>
      </c>
      <c r="B24">
        <v>109597</v>
      </c>
      <c r="C24">
        <v>3104</v>
      </c>
    </row>
    <row r="25" spans="1:3" x14ac:dyDescent="0.25">
      <c r="A25" t="s">
        <v>34</v>
      </c>
      <c r="B25">
        <v>100303</v>
      </c>
      <c r="C25">
        <v>37292</v>
      </c>
    </row>
    <row r="26" spans="1:3" x14ac:dyDescent="0.25">
      <c r="A26" t="s">
        <v>16</v>
      </c>
      <c r="B26">
        <v>92482</v>
      </c>
      <c r="C26">
        <v>52992</v>
      </c>
    </row>
    <row r="27" spans="1:3" x14ac:dyDescent="0.25">
      <c r="A27" t="s">
        <v>28</v>
      </c>
      <c r="B27">
        <v>86783</v>
      </c>
      <c r="C27">
        <v>3258</v>
      </c>
    </row>
    <row r="28" spans="1:3" x14ac:dyDescent="0.25">
      <c r="A28" t="s">
        <v>18</v>
      </c>
      <c r="B28">
        <v>84648</v>
      </c>
      <c r="C28">
        <v>29659</v>
      </c>
    </row>
    <row r="29" spans="1:3" x14ac:dyDescent="0.25">
      <c r="A29" t="s">
        <v>28</v>
      </c>
      <c r="B29">
        <v>82040</v>
      </c>
      <c r="C29">
        <v>53649</v>
      </c>
    </row>
    <row r="30" spans="1:3" x14ac:dyDescent="0.25">
      <c r="A30" t="s">
        <v>24</v>
      </c>
      <c r="B30">
        <v>81161</v>
      </c>
      <c r="C30">
        <v>40733</v>
      </c>
    </row>
    <row r="31" spans="1:3" x14ac:dyDescent="0.25">
      <c r="A31" t="s">
        <v>18</v>
      </c>
      <c r="B31">
        <v>79395</v>
      </c>
      <c r="C31">
        <v>73695</v>
      </c>
    </row>
    <row r="32" spans="1:3" x14ac:dyDescent="0.25">
      <c r="A32" t="s">
        <v>16</v>
      </c>
      <c r="B32">
        <v>77058</v>
      </c>
      <c r="C32">
        <v>19637</v>
      </c>
    </row>
    <row r="33" spans="1:3" x14ac:dyDescent="0.25">
      <c r="A33" t="s">
        <v>24</v>
      </c>
      <c r="B33">
        <v>71181</v>
      </c>
      <c r="C33">
        <v>47056</v>
      </c>
    </row>
    <row r="34" spans="1:3" x14ac:dyDescent="0.25">
      <c r="A34" t="s">
        <v>18</v>
      </c>
      <c r="B34">
        <v>67251</v>
      </c>
      <c r="C34">
        <v>6221</v>
      </c>
    </row>
    <row r="35" spans="1:3" x14ac:dyDescent="0.25">
      <c r="A35" t="s">
        <v>18</v>
      </c>
      <c r="B35">
        <v>67096</v>
      </c>
      <c r="C35">
        <v>28258</v>
      </c>
    </row>
    <row r="36" spans="1:3" x14ac:dyDescent="0.25">
      <c r="A36" t="s">
        <v>18</v>
      </c>
      <c r="B36">
        <v>66428</v>
      </c>
      <c r="C36">
        <v>39154</v>
      </c>
    </row>
    <row r="37" spans="1:3" x14ac:dyDescent="0.25">
      <c r="A37" t="s">
        <v>16</v>
      </c>
      <c r="B37">
        <v>64379</v>
      </c>
      <c r="C37">
        <v>8884</v>
      </c>
    </row>
    <row r="38" spans="1:3" x14ac:dyDescent="0.25">
      <c r="A38" t="s">
        <v>24</v>
      </c>
      <c r="B38">
        <v>64156</v>
      </c>
      <c r="C38">
        <v>32869</v>
      </c>
    </row>
    <row r="39" spans="1:3" x14ac:dyDescent="0.25">
      <c r="A39" t="s">
        <v>18</v>
      </c>
      <c r="B39">
        <v>63985</v>
      </c>
      <c r="C39">
        <v>36378</v>
      </c>
    </row>
    <row r="40" spans="1:3" x14ac:dyDescent="0.25">
      <c r="A40" t="s">
        <v>24</v>
      </c>
      <c r="B40">
        <v>61442</v>
      </c>
      <c r="C40">
        <v>25034</v>
      </c>
    </row>
    <row r="41" spans="1:3" x14ac:dyDescent="0.25">
      <c r="A41" t="s">
        <v>16</v>
      </c>
      <c r="B41">
        <v>59177</v>
      </c>
      <c r="C41">
        <v>6322</v>
      </c>
    </row>
    <row r="42" spans="1:3" x14ac:dyDescent="0.25">
      <c r="A42" t="s">
        <v>18</v>
      </c>
      <c r="B42">
        <v>53413</v>
      </c>
      <c r="C42">
        <v>47064</v>
      </c>
    </row>
    <row r="43" spans="1:3" x14ac:dyDescent="0.25">
      <c r="A43" t="s">
        <v>28</v>
      </c>
      <c r="B43">
        <v>50838</v>
      </c>
      <c r="C43">
        <v>5119</v>
      </c>
    </row>
    <row r="44" spans="1:3" x14ac:dyDescent="0.25">
      <c r="A44" t="s">
        <v>18</v>
      </c>
      <c r="B44">
        <v>50299</v>
      </c>
      <c r="C44">
        <v>13205</v>
      </c>
    </row>
    <row r="45" spans="1:3" x14ac:dyDescent="0.25">
      <c r="A45" t="s">
        <v>18</v>
      </c>
      <c r="B45">
        <v>45902</v>
      </c>
      <c r="C45">
        <v>17902</v>
      </c>
    </row>
    <row r="46" spans="1:3" x14ac:dyDescent="0.25">
      <c r="A46" t="s">
        <v>24</v>
      </c>
      <c r="B46">
        <v>45309</v>
      </c>
      <c r="C46">
        <v>11093</v>
      </c>
    </row>
    <row r="47" spans="1:3" x14ac:dyDescent="0.25">
      <c r="A47" t="s">
        <v>18</v>
      </c>
      <c r="B47">
        <v>43402</v>
      </c>
      <c r="C47">
        <v>8870</v>
      </c>
    </row>
    <row r="48" spans="1:3" x14ac:dyDescent="0.25">
      <c r="A48" t="s">
        <v>20</v>
      </c>
      <c r="B48">
        <v>41180</v>
      </c>
      <c r="C48">
        <v>22117</v>
      </c>
    </row>
    <row r="49" spans="1:3" x14ac:dyDescent="0.25">
      <c r="A49" t="s">
        <v>24</v>
      </c>
      <c r="B49">
        <v>39741</v>
      </c>
      <c r="C49">
        <v>33536</v>
      </c>
    </row>
    <row r="50" spans="1:3" x14ac:dyDescent="0.25">
      <c r="A50" t="s">
        <v>16</v>
      </c>
      <c r="B50">
        <v>39482</v>
      </c>
      <c r="C50">
        <v>3231</v>
      </c>
    </row>
    <row r="51" spans="1:3" x14ac:dyDescent="0.25">
      <c r="A51" t="s">
        <v>18</v>
      </c>
      <c r="B51">
        <v>37390</v>
      </c>
      <c r="C51">
        <v>10014</v>
      </c>
    </row>
    <row r="52" spans="1:3" x14ac:dyDescent="0.25">
      <c r="A52" t="s">
        <v>16</v>
      </c>
      <c r="B52">
        <v>36263</v>
      </c>
      <c r="C52">
        <v>9796</v>
      </c>
    </row>
    <row r="53" spans="1:3" x14ac:dyDescent="0.25">
      <c r="A53" t="s">
        <v>18</v>
      </c>
      <c r="B53">
        <v>34477</v>
      </c>
      <c r="C53">
        <v>1599</v>
      </c>
    </row>
    <row r="54" spans="1:3" x14ac:dyDescent="0.25">
      <c r="A54" t="s">
        <v>20</v>
      </c>
      <c r="B54">
        <v>33624</v>
      </c>
      <c r="C54">
        <v>3655</v>
      </c>
    </row>
    <row r="55" spans="1:3" x14ac:dyDescent="0.25">
      <c r="A55" t="s">
        <v>18</v>
      </c>
      <c r="B55">
        <v>33296</v>
      </c>
      <c r="C55">
        <v>10790</v>
      </c>
    </row>
    <row r="56" spans="1:3" x14ac:dyDescent="0.25">
      <c r="A56" t="s">
        <v>28</v>
      </c>
      <c r="B56">
        <v>31142</v>
      </c>
      <c r="C56">
        <v>8174</v>
      </c>
    </row>
    <row r="57" spans="1:3" x14ac:dyDescent="0.25">
      <c r="A57" t="s">
        <v>18</v>
      </c>
      <c r="B57">
        <v>30446</v>
      </c>
      <c r="C57">
        <v>6781</v>
      </c>
    </row>
    <row r="58" spans="1:3" x14ac:dyDescent="0.25">
      <c r="A58" t="s">
        <v>20</v>
      </c>
      <c r="B58">
        <v>27973</v>
      </c>
      <c r="C58">
        <v>7973</v>
      </c>
    </row>
    <row r="59" spans="1:3" x14ac:dyDescent="0.25">
      <c r="A59" t="s">
        <v>18</v>
      </c>
      <c r="B59">
        <v>25892</v>
      </c>
      <c r="C59">
        <v>764</v>
      </c>
    </row>
    <row r="60" spans="1:3" x14ac:dyDescent="0.25">
      <c r="A60" t="s">
        <v>18</v>
      </c>
      <c r="B60">
        <v>24141</v>
      </c>
      <c r="C60">
        <v>23598</v>
      </c>
    </row>
    <row r="61" spans="1:3" x14ac:dyDescent="0.25">
      <c r="A61" t="s">
        <v>18</v>
      </c>
      <c r="B61">
        <v>23154</v>
      </c>
      <c r="C61">
        <v>6252</v>
      </c>
    </row>
    <row r="62" spans="1:3" x14ac:dyDescent="0.25">
      <c r="A62" t="s">
        <v>18</v>
      </c>
      <c r="B62">
        <v>21209</v>
      </c>
      <c r="C62">
        <v>9414</v>
      </c>
    </row>
    <row r="63" spans="1:3" x14ac:dyDescent="0.25">
      <c r="A63" t="s">
        <v>16</v>
      </c>
      <c r="B63">
        <v>20887</v>
      </c>
      <c r="C63">
        <v>4018</v>
      </c>
    </row>
    <row r="64" spans="1:3" x14ac:dyDescent="0.25">
      <c r="A64" t="s">
        <v>18</v>
      </c>
      <c r="B64">
        <v>20558</v>
      </c>
      <c r="C64">
        <v>1599</v>
      </c>
    </row>
    <row r="65" spans="1:3" x14ac:dyDescent="0.25">
      <c r="A65" t="s">
        <v>34</v>
      </c>
      <c r="B65">
        <v>18752</v>
      </c>
      <c r="C65">
        <v>4950</v>
      </c>
    </row>
    <row r="66" spans="1:3" x14ac:dyDescent="0.25">
      <c r="A66" t="s">
        <v>20</v>
      </c>
      <c r="B66">
        <v>17975</v>
      </c>
      <c r="C66">
        <v>9857</v>
      </c>
    </row>
    <row r="67" spans="1:3" x14ac:dyDescent="0.25">
      <c r="A67" t="s">
        <v>20</v>
      </c>
      <c r="B67">
        <v>17110</v>
      </c>
      <c r="C67">
        <v>2180</v>
      </c>
    </row>
    <row r="68" spans="1:3" x14ac:dyDescent="0.25">
      <c r="A68" t="s">
        <v>24</v>
      </c>
      <c r="B68">
        <v>15988</v>
      </c>
      <c r="C68">
        <v>5883</v>
      </c>
    </row>
    <row r="69" spans="1:3" x14ac:dyDescent="0.25">
      <c r="A69" t="s">
        <v>24</v>
      </c>
      <c r="B69">
        <v>15841</v>
      </c>
      <c r="C69">
        <v>11902</v>
      </c>
    </row>
    <row r="70" spans="1:3" x14ac:dyDescent="0.25">
      <c r="A70" t="s">
        <v>20</v>
      </c>
      <c r="B70">
        <v>15655</v>
      </c>
      <c r="C70">
        <v>5198</v>
      </c>
    </row>
    <row r="71" spans="1:3" x14ac:dyDescent="0.25">
      <c r="A71" t="s">
        <v>18</v>
      </c>
      <c r="B71">
        <v>15516</v>
      </c>
      <c r="C71">
        <v>3715</v>
      </c>
    </row>
    <row r="72" spans="1:3" x14ac:dyDescent="0.25">
      <c r="A72" t="s">
        <v>28</v>
      </c>
      <c r="B72">
        <v>15303</v>
      </c>
      <c r="C72">
        <v>5825</v>
      </c>
    </row>
    <row r="73" spans="1:3" x14ac:dyDescent="0.25">
      <c r="A73" t="s">
        <v>24</v>
      </c>
      <c r="B73">
        <v>15035</v>
      </c>
      <c r="C73">
        <v>6849</v>
      </c>
    </row>
    <row r="74" spans="1:3" x14ac:dyDescent="0.25">
      <c r="A74" t="s">
        <v>20</v>
      </c>
      <c r="B74">
        <v>14547</v>
      </c>
      <c r="C74">
        <v>7933</v>
      </c>
    </row>
    <row r="75" spans="1:3" x14ac:dyDescent="0.25">
      <c r="A75" t="s">
        <v>28</v>
      </c>
      <c r="B75">
        <v>14203</v>
      </c>
      <c r="C75">
        <v>896</v>
      </c>
    </row>
    <row r="76" spans="1:3" x14ac:dyDescent="0.25">
      <c r="A76" t="s">
        <v>18</v>
      </c>
      <c r="B76">
        <v>13761</v>
      </c>
      <c r="C76">
        <v>543</v>
      </c>
    </row>
    <row r="77" spans="1:3" x14ac:dyDescent="0.25">
      <c r="A77" t="s">
        <v>16</v>
      </c>
      <c r="B77">
        <v>11424</v>
      </c>
      <c r="C77">
        <v>4765</v>
      </c>
    </row>
    <row r="78" spans="1:3" x14ac:dyDescent="0.25">
      <c r="A78" t="s">
        <v>18</v>
      </c>
      <c r="B78">
        <v>10621</v>
      </c>
      <c r="C78">
        <v>4689</v>
      </c>
    </row>
    <row r="79" spans="1:3" x14ac:dyDescent="0.25">
      <c r="A79" t="s">
        <v>16</v>
      </c>
      <c r="B79">
        <v>10621</v>
      </c>
      <c r="C79">
        <v>6791</v>
      </c>
    </row>
    <row r="80" spans="1:3" x14ac:dyDescent="0.25">
      <c r="A80" t="s">
        <v>18</v>
      </c>
      <c r="B80">
        <v>10498</v>
      </c>
      <c r="C80">
        <v>5274</v>
      </c>
    </row>
    <row r="81" spans="1:3" x14ac:dyDescent="0.25">
      <c r="A81" t="s">
        <v>18</v>
      </c>
      <c r="B81">
        <v>10213</v>
      </c>
      <c r="C81">
        <v>4183</v>
      </c>
    </row>
    <row r="82" spans="1:3" x14ac:dyDescent="0.25">
      <c r="A82" t="s">
        <v>20</v>
      </c>
      <c r="B82">
        <v>9764</v>
      </c>
      <c r="C82">
        <v>3093</v>
      </c>
    </row>
    <row r="83" spans="1:3" x14ac:dyDescent="0.25">
      <c r="A83" t="s">
        <v>20</v>
      </c>
      <c r="B83">
        <v>9690</v>
      </c>
      <c r="C83">
        <v>3339</v>
      </c>
    </row>
    <row r="84" spans="1:3" x14ac:dyDescent="0.25">
      <c r="A84" t="s">
        <v>18</v>
      </c>
      <c r="B84">
        <v>9132</v>
      </c>
      <c r="C84">
        <v>125</v>
      </c>
    </row>
    <row r="85" spans="1:3" x14ac:dyDescent="0.25">
      <c r="A85" t="s">
        <v>28</v>
      </c>
      <c r="B85">
        <v>8904</v>
      </c>
      <c r="C85">
        <v>179</v>
      </c>
    </row>
    <row r="86" spans="1:3" x14ac:dyDescent="0.25">
      <c r="A86" t="s">
        <v>20</v>
      </c>
      <c r="B86">
        <v>8844</v>
      </c>
      <c r="C86">
        <v>2936</v>
      </c>
    </row>
    <row r="87" spans="1:3" x14ac:dyDescent="0.25">
      <c r="A87" t="s">
        <v>18</v>
      </c>
      <c r="B87">
        <v>7413</v>
      </c>
      <c r="C87">
        <v>3201</v>
      </c>
    </row>
    <row r="88" spans="1:3" x14ac:dyDescent="0.25">
      <c r="A88" t="s">
        <v>18</v>
      </c>
      <c r="B88">
        <v>7398</v>
      </c>
      <c r="C88">
        <v>149</v>
      </c>
    </row>
    <row r="89" spans="1:3" x14ac:dyDescent="0.25">
      <c r="A89" t="s">
        <v>24</v>
      </c>
      <c r="B89">
        <v>7340</v>
      </c>
      <c r="C89">
        <v>2817</v>
      </c>
    </row>
    <row r="90" spans="1:3" x14ac:dyDescent="0.25">
      <c r="A90" t="s">
        <v>18</v>
      </c>
      <c r="B90">
        <v>7235</v>
      </c>
      <c r="C90">
        <v>1147</v>
      </c>
    </row>
    <row r="91" spans="1:3" x14ac:dyDescent="0.25">
      <c r="A91" t="s">
        <v>20</v>
      </c>
      <c r="B91">
        <v>7189</v>
      </c>
      <c r="C91">
        <v>2458</v>
      </c>
    </row>
    <row r="92" spans="1:3" x14ac:dyDescent="0.25">
      <c r="A92" t="s">
        <v>20</v>
      </c>
      <c r="B92">
        <v>7055</v>
      </c>
      <c r="C92">
        <v>753</v>
      </c>
    </row>
    <row r="93" spans="1:3" x14ac:dyDescent="0.25">
      <c r="A93" t="s">
        <v>18</v>
      </c>
      <c r="B93">
        <v>6321</v>
      </c>
      <c r="C93">
        <v>1384</v>
      </c>
    </row>
    <row r="94" spans="1:3" x14ac:dyDescent="0.25">
      <c r="A94" t="s">
        <v>20</v>
      </c>
      <c r="B94">
        <v>6208</v>
      </c>
      <c r="C94">
        <v>1399</v>
      </c>
    </row>
    <row r="95" spans="1:3" x14ac:dyDescent="0.25">
      <c r="A95" t="s">
        <v>16</v>
      </c>
      <c r="B95">
        <v>5059</v>
      </c>
      <c r="C95">
        <v>24</v>
      </c>
    </row>
    <row r="96" spans="1:3" x14ac:dyDescent="0.25">
      <c r="A96" t="s">
        <v>18</v>
      </c>
      <c r="B96">
        <v>4881</v>
      </c>
      <c r="C96">
        <v>806</v>
      </c>
    </row>
    <row r="97" spans="1:3" x14ac:dyDescent="0.25">
      <c r="A97" t="s">
        <v>18</v>
      </c>
      <c r="B97">
        <v>4880</v>
      </c>
      <c r="C97">
        <v>1991</v>
      </c>
    </row>
    <row r="98" spans="1:3" x14ac:dyDescent="0.25">
      <c r="A98" t="s">
        <v>20</v>
      </c>
      <c r="B98">
        <v>4599</v>
      </c>
      <c r="C98">
        <v>2994</v>
      </c>
    </row>
    <row r="99" spans="1:3" x14ac:dyDescent="0.25">
      <c r="A99" t="s">
        <v>20</v>
      </c>
      <c r="B99">
        <v>4552</v>
      </c>
      <c r="C99">
        <v>1597</v>
      </c>
    </row>
    <row r="100" spans="1:3" x14ac:dyDescent="0.25">
      <c r="A100" t="s">
        <v>24</v>
      </c>
      <c r="B100">
        <v>4548</v>
      </c>
      <c r="C100">
        <v>1600</v>
      </c>
    </row>
    <row r="101" spans="1:3" x14ac:dyDescent="0.25">
      <c r="A101" t="s">
        <v>18</v>
      </c>
      <c r="B101">
        <v>4448</v>
      </c>
      <c r="C101">
        <v>523</v>
      </c>
    </row>
    <row r="102" spans="1:3" x14ac:dyDescent="0.25">
      <c r="A102" t="s">
        <v>18</v>
      </c>
      <c r="B102">
        <v>4227</v>
      </c>
      <c r="C102">
        <v>2651</v>
      </c>
    </row>
    <row r="103" spans="1:3" x14ac:dyDescent="0.25">
      <c r="A103" t="s">
        <v>16</v>
      </c>
      <c r="B103">
        <v>3882</v>
      </c>
      <c r="C103">
        <v>2122</v>
      </c>
    </row>
    <row r="104" spans="1:3" x14ac:dyDescent="0.25">
      <c r="A104" t="s">
        <v>20</v>
      </c>
      <c r="B104">
        <v>3664</v>
      </c>
      <c r="C104">
        <v>1920</v>
      </c>
    </row>
    <row r="105" spans="1:3" x14ac:dyDescent="0.25">
      <c r="A105" t="s">
        <v>24</v>
      </c>
      <c r="B105">
        <v>3439</v>
      </c>
      <c r="C105">
        <v>839</v>
      </c>
    </row>
    <row r="106" spans="1:3" x14ac:dyDescent="0.25">
      <c r="A106" t="s">
        <v>34</v>
      </c>
      <c r="B106">
        <v>3369</v>
      </c>
      <c r="C106">
        <v>807</v>
      </c>
    </row>
    <row r="107" spans="1:3" x14ac:dyDescent="0.25">
      <c r="A107" t="s">
        <v>34</v>
      </c>
      <c r="B107">
        <v>3297</v>
      </c>
      <c r="C107">
        <v>128</v>
      </c>
    </row>
    <row r="108" spans="1:3" x14ac:dyDescent="0.25">
      <c r="A108" t="s">
        <v>20</v>
      </c>
      <c r="B108">
        <v>3200</v>
      </c>
      <c r="C108">
        <v>2317</v>
      </c>
    </row>
    <row r="109" spans="1:3" x14ac:dyDescent="0.25">
      <c r="A109" t="s">
        <v>16</v>
      </c>
      <c r="B109">
        <v>3196</v>
      </c>
      <c r="C109">
        <v>1560</v>
      </c>
    </row>
    <row r="110" spans="1:3" x14ac:dyDescent="0.25">
      <c r="A110" t="s">
        <v>20</v>
      </c>
      <c r="B110">
        <v>3071</v>
      </c>
      <c r="C110">
        <v>2178</v>
      </c>
    </row>
    <row r="111" spans="1:3" x14ac:dyDescent="0.25">
      <c r="A111" t="s">
        <v>18</v>
      </c>
      <c r="B111">
        <v>2893</v>
      </c>
      <c r="C111">
        <v>2039</v>
      </c>
    </row>
    <row r="112" spans="1:3" x14ac:dyDescent="0.25">
      <c r="A112" t="s">
        <v>16</v>
      </c>
      <c r="B112">
        <v>2827</v>
      </c>
      <c r="C112">
        <v>2186</v>
      </c>
    </row>
    <row r="113" spans="1:3" x14ac:dyDescent="0.25">
      <c r="A113" t="s">
        <v>34</v>
      </c>
      <c r="B113">
        <v>2805</v>
      </c>
      <c r="C113">
        <v>673</v>
      </c>
    </row>
    <row r="114" spans="1:3" x14ac:dyDescent="0.25">
      <c r="A114" t="s">
        <v>20</v>
      </c>
      <c r="B114">
        <v>2704</v>
      </c>
      <c r="C114">
        <v>2126</v>
      </c>
    </row>
    <row r="115" spans="1:3" x14ac:dyDescent="0.25">
      <c r="A115" t="s">
        <v>24</v>
      </c>
      <c r="B115">
        <v>2532</v>
      </c>
      <c r="C115">
        <v>94</v>
      </c>
    </row>
    <row r="116" spans="1:3" x14ac:dyDescent="0.25">
      <c r="A116" t="s">
        <v>20</v>
      </c>
      <c r="B116">
        <v>2513</v>
      </c>
      <c r="C116">
        <v>476</v>
      </c>
    </row>
    <row r="117" spans="1:3" x14ac:dyDescent="0.25">
      <c r="A117" t="s">
        <v>20</v>
      </c>
      <c r="B117">
        <v>2328</v>
      </c>
      <c r="C117">
        <v>756</v>
      </c>
    </row>
    <row r="118" spans="1:3" x14ac:dyDescent="0.25">
      <c r="A118" t="s">
        <v>20</v>
      </c>
      <c r="B118">
        <v>2316</v>
      </c>
      <c r="C118">
        <v>1257</v>
      </c>
    </row>
    <row r="119" spans="1:3" x14ac:dyDescent="0.25">
      <c r="A119" t="s">
        <v>20</v>
      </c>
      <c r="B119">
        <v>2305</v>
      </c>
      <c r="C119">
        <v>1084</v>
      </c>
    </row>
    <row r="120" spans="1:3" x14ac:dyDescent="0.25">
      <c r="A120" t="s">
        <v>18</v>
      </c>
      <c r="B120">
        <v>2181</v>
      </c>
      <c r="C120">
        <v>537</v>
      </c>
    </row>
    <row r="121" spans="1:3" x14ac:dyDescent="0.25">
      <c r="A121" t="s">
        <v>18</v>
      </c>
      <c r="B121">
        <v>2087</v>
      </c>
      <c r="C121">
        <v>238</v>
      </c>
    </row>
    <row r="122" spans="1:3" x14ac:dyDescent="0.25">
      <c r="A122" t="s">
        <v>18</v>
      </c>
      <c r="B122">
        <v>2034</v>
      </c>
      <c r="C122">
        <v>42</v>
      </c>
    </row>
    <row r="123" spans="1:3" x14ac:dyDescent="0.25">
      <c r="A123" t="s">
        <v>18</v>
      </c>
      <c r="B123">
        <v>2019</v>
      </c>
      <c r="C123">
        <v>319</v>
      </c>
    </row>
    <row r="124" spans="1:3" x14ac:dyDescent="0.25">
      <c r="A124" t="s">
        <v>20</v>
      </c>
      <c r="B124">
        <v>1954</v>
      </c>
      <c r="C124">
        <v>1125</v>
      </c>
    </row>
    <row r="125" spans="1:3" x14ac:dyDescent="0.25">
      <c r="A125" t="s">
        <v>20</v>
      </c>
      <c r="B125">
        <v>1879</v>
      </c>
      <c r="C125">
        <v>899</v>
      </c>
    </row>
    <row r="126" spans="1:3" x14ac:dyDescent="0.25">
      <c r="A126" t="s">
        <v>18</v>
      </c>
      <c r="B126">
        <v>1854</v>
      </c>
      <c r="C126">
        <v>21</v>
      </c>
    </row>
    <row r="127" spans="1:3" x14ac:dyDescent="0.25">
      <c r="A127" t="s">
        <v>20</v>
      </c>
      <c r="B127">
        <v>1843</v>
      </c>
      <c r="C127">
        <v>1734</v>
      </c>
    </row>
    <row r="128" spans="1:3" x14ac:dyDescent="0.25">
      <c r="A128" t="s">
        <v>20</v>
      </c>
      <c r="B128">
        <v>1783</v>
      </c>
      <c r="C128">
        <v>400</v>
      </c>
    </row>
    <row r="129" spans="1:3" x14ac:dyDescent="0.25">
      <c r="A129" t="s">
        <v>20</v>
      </c>
      <c r="B129">
        <v>1770</v>
      </c>
      <c r="C129">
        <v>699</v>
      </c>
    </row>
    <row r="130" spans="1:3" x14ac:dyDescent="0.25">
      <c r="A130" t="s">
        <v>20</v>
      </c>
      <c r="B130">
        <v>1701</v>
      </c>
      <c r="C130">
        <v>1690</v>
      </c>
    </row>
    <row r="131" spans="1:3" x14ac:dyDescent="0.25">
      <c r="A131" t="s">
        <v>16</v>
      </c>
      <c r="B131">
        <v>1691</v>
      </c>
      <c r="C131">
        <v>375</v>
      </c>
    </row>
    <row r="132" spans="1:3" x14ac:dyDescent="0.25">
      <c r="A132" t="s">
        <v>28</v>
      </c>
      <c r="B132">
        <v>1557</v>
      </c>
      <c r="C132">
        <v>21</v>
      </c>
    </row>
    <row r="133" spans="1:3" x14ac:dyDescent="0.25">
      <c r="A133" t="s">
        <v>24</v>
      </c>
      <c r="B133">
        <v>1483</v>
      </c>
      <c r="C133">
        <v>534</v>
      </c>
    </row>
    <row r="134" spans="1:3" x14ac:dyDescent="0.25">
      <c r="A134" t="s">
        <v>16</v>
      </c>
      <c r="B134">
        <v>1455</v>
      </c>
      <c r="C134">
        <v>248</v>
      </c>
    </row>
    <row r="135" spans="1:3" x14ac:dyDescent="0.25">
      <c r="A135" t="s">
        <v>18</v>
      </c>
      <c r="B135">
        <v>1219</v>
      </c>
      <c r="C135">
        <v>143</v>
      </c>
    </row>
    <row r="136" spans="1:3" x14ac:dyDescent="0.25">
      <c r="A136" t="s">
        <v>24</v>
      </c>
      <c r="B136">
        <v>1202</v>
      </c>
      <c r="C136">
        <v>216</v>
      </c>
    </row>
    <row r="137" spans="1:3" x14ac:dyDescent="0.25">
      <c r="A137" t="s">
        <v>16</v>
      </c>
      <c r="B137">
        <v>1176</v>
      </c>
      <c r="C137">
        <v>124</v>
      </c>
    </row>
    <row r="138" spans="1:3" x14ac:dyDescent="0.25">
      <c r="A138" t="s">
        <v>20</v>
      </c>
      <c r="B138">
        <v>1167</v>
      </c>
      <c r="C138">
        <v>449</v>
      </c>
    </row>
    <row r="139" spans="1:3" x14ac:dyDescent="0.25">
      <c r="A139" t="s">
        <v>18</v>
      </c>
      <c r="B139">
        <v>1137</v>
      </c>
      <c r="C139">
        <v>199</v>
      </c>
    </row>
    <row r="140" spans="1:3" x14ac:dyDescent="0.25">
      <c r="A140" t="s">
        <v>20</v>
      </c>
      <c r="B140">
        <v>1132</v>
      </c>
      <c r="C140">
        <v>36</v>
      </c>
    </row>
    <row r="141" spans="1:3" x14ac:dyDescent="0.25">
      <c r="A141" t="s">
        <v>20</v>
      </c>
      <c r="B141">
        <v>1128</v>
      </c>
      <c r="C141">
        <v>140</v>
      </c>
    </row>
    <row r="142" spans="1:3" x14ac:dyDescent="0.25">
      <c r="A142" t="s">
        <v>20</v>
      </c>
      <c r="B142">
        <v>1100</v>
      </c>
      <c r="C142">
        <v>121</v>
      </c>
    </row>
    <row r="143" spans="1:3" x14ac:dyDescent="0.25">
      <c r="A143" t="s">
        <v>18</v>
      </c>
      <c r="B143">
        <v>1060</v>
      </c>
      <c r="C143">
        <v>189</v>
      </c>
    </row>
    <row r="144" spans="1:3" x14ac:dyDescent="0.25">
      <c r="A144" t="s">
        <v>20</v>
      </c>
      <c r="B144">
        <v>950</v>
      </c>
      <c r="C144">
        <v>667</v>
      </c>
    </row>
    <row r="145" spans="1:3" x14ac:dyDescent="0.25">
      <c r="A145" t="s">
        <v>20</v>
      </c>
      <c r="B145">
        <v>922</v>
      </c>
      <c r="C145">
        <v>37</v>
      </c>
    </row>
    <row r="146" spans="1:3" x14ac:dyDescent="0.25">
      <c r="A146" t="s">
        <v>18</v>
      </c>
      <c r="B146">
        <v>907</v>
      </c>
      <c r="C146">
        <v>52</v>
      </c>
    </row>
    <row r="147" spans="1:3" x14ac:dyDescent="0.25">
      <c r="A147" t="s">
        <v>20</v>
      </c>
      <c r="B147">
        <v>874</v>
      </c>
      <c r="C147">
        <v>249</v>
      </c>
    </row>
    <row r="148" spans="1:3" x14ac:dyDescent="0.25">
      <c r="A148" t="s">
        <v>20</v>
      </c>
      <c r="B148">
        <v>865</v>
      </c>
      <c r="C148">
        <v>117</v>
      </c>
    </row>
    <row r="149" spans="1:3" x14ac:dyDescent="0.25">
      <c r="A149" t="s">
        <v>24</v>
      </c>
      <c r="B149">
        <v>853</v>
      </c>
      <c r="C149">
        <v>129</v>
      </c>
    </row>
    <row r="150" spans="1:3" x14ac:dyDescent="0.25">
      <c r="A150" t="s">
        <v>20</v>
      </c>
      <c r="B150">
        <v>739</v>
      </c>
      <c r="C150">
        <v>674</v>
      </c>
    </row>
    <row r="151" spans="1:3" x14ac:dyDescent="0.25">
      <c r="A151" t="s">
        <v>18</v>
      </c>
      <c r="B151">
        <v>701</v>
      </c>
      <c r="C151">
        <v>27</v>
      </c>
    </row>
    <row r="152" spans="1:3" x14ac:dyDescent="0.25">
      <c r="A152" t="s">
        <v>18</v>
      </c>
      <c r="B152">
        <v>699</v>
      </c>
      <c r="C152">
        <v>0</v>
      </c>
    </row>
    <row r="153" spans="1:3" x14ac:dyDescent="0.25">
      <c r="A153" t="s">
        <v>16</v>
      </c>
      <c r="B153">
        <v>674</v>
      </c>
      <c r="C153">
        <v>634</v>
      </c>
    </row>
    <row r="154" spans="1:3" x14ac:dyDescent="0.25">
      <c r="A154" t="s">
        <v>20</v>
      </c>
      <c r="B154">
        <v>509</v>
      </c>
      <c r="C154">
        <v>305</v>
      </c>
    </row>
    <row r="155" spans="1:3" x14ac:dyDescent="0.25">
      <c r="A155" t="s">
        <v>20</v>
      </c>
      <c r="B155">
        <v>505</v>
      </c>
      <c r="C155">
        <v>365</v>
      </c>
    </row>
    <row r="156" spans="1:3" x14ac:dyDescent="0.25">
      <c r="A156" t="s">
        <v>28</v>
      </c>
      <c r="B156">
        <v>462</v>
      </c>
      <c r="C156">
        <v>15</v>
      </c>
    </row>
    <row r="157" spans="1:3" x14ac:dyDescent="0.25">
      <c r="A157" t="s">
        <v>28</v>
      </c>
      <c r="B157">
        <v>431</v>
      </c>
      <c r="C157">
        <v>66</v>
      </c>
    </row>
    <row r="158" spans="1:3" x14ac:dyDescent="0.25">
      <c r="A158" t="s">
        <v>24</v>
      </c>
      <c r="B158">
        <v>389</v>
      </c>
      <c r="C158">
        <v>188</v>
      </c>
    </row>
    <row r="159" spans="1:3" x14ac:dyDescent="0.25">
      <c r="A159" t="s">
        <v>24</v>
      </c>
      <c r="B159">
        <v>382</v>
      </c>
      <c r="C159">
        <v>280</v>
      </c>
    </row>
    <row r="160" spans="1:3" x14ac:dyDescent="0.25">
      <c r="A160" t="s">
        <v>20</v>
      </c>
      <c r="B160">
        <v>378</v>
      </c>
      <c r="C160">
        <v>76</v>
      </c>
    </row>
    <row r="161" spans="1:3" x14ac:dyDescent="0.25">
      <c r="A161" t="s">
        <v>20</v>
      </c>
      <c r="B161">
        <v>354</v>
      </c>
      <c r="C161">
        <v>19</v>
      </c>
    </row>
    <row r="162" spans="1:3" x14ac:dyDescent="0.25">
      <c r="A162" t="s">
        <v>34</v>
      </c>
      <c r="B162">
        <v>350</v>
      </c>
      <c r="C162">
        <v>52</v>
      </c>
    </row>
    <row r="163" spans="1:3" x14ac:dyDescent="0.25">
      <c r="A163" t="s">
        <v>20</v>
      </c>
      <c r="B163">
        <v>344</v>
      </c>
      <c r="C163">
        <v>2</v>
      </c>
    </row>
    <row r="164" spans="1:3" x14ac:dyDescent="0.25">
      <c r="A164" t="s">
        <v>20</v>
      </c>
      <c r="B164">
        <v>326</v>
      </c>
      <c r="C164">
        <v>252</v>
      </c>
    </row>
    <row r="165" spans="1:3" x14ac:dyDescent="0.25">
      <c r="A165" t="s">
        <v>28</v>
      </c>
      <c r="B165">
        <v>289</v>
      </c>
      <c r="C165">
        <v>67</v>
      </c>
    </row>
    <row r="166" spans="1:3" x14ac:dyDescent="0.25">
      <c r="A166" t="s">
        <v>20</v>
      </c>
      <c r="B166">
        <v>265</v>
      </c>
      <c r="C166">
        <v>74</v>
      </c>
    </row>
    <row r="167" spans="1:3" x14ac:dyDescent="0.25">
      <c r="A167" t="s">
        <v>28</v>
      </c>
      <c r="B167">
        <v>226</v>
      </c>
      <c r="C167">
        <v>79</v>
      </c>
    </row>
    <row r="168" spans="1:3" x14ac:dyDescent="0.25">
      <c r="A168" t="s">
        <v>24</v>
      </c>
      <c r="B168">
        <v>148</v>
      </c>
      <c r="C168">
        <v>12</v>
      </c>
    </row>
    <row r="169" spans="1:3" x14ac:dyDescent="0.25">
      <c r="A169" t="s">
        <v>28</v>
      </c>
      <c r="B169">
        <v>141</v>
      </c>
      <c r="C169">
        <v>0</v>
      </c>
    </row>
    <row r="170" spans="1:3" x14ac:dyDescent="0.25">
      <c r="A170" t="s">
        <v>18</v>
      </c>
      <c r="B170">
        <v>116</v>
      </c>
      <c r="C170">
        <v>8</v>
      </c>
    </row>
    <row r="171" spans="1:3" x14ac:dyDescent="0.25">
      <c r="A171" t="s">
        <v>20</v>
      </c>
      <c r="B171">
        <v>114</v>
      </c>
      <c r="C171">
        <v>75</v>
      </c>
    </row>
    <row r="172" spans="1:3" x14ac:dyDescent="0.25">
      <c r="A172" t="s">
        <v>24</v>
      </c>
      <c r="B172">
        <v>110</v>
      </c>
      <c r="C172">
        <v>9</v>
      </c>
    </row>
    <row r="173" spans="1:3" x14ac:dyDescent="0.25">
      <c r="A173" t="s">
        <v>34</v>
      </c>
      <c r="B173">
        <v>99</v>
      </c>
      <c r="C173">
        <v>13</v>
      </c>
    </row>
    <row r="174" spans="1:3" x14ac:dyDescent="0.25">
      <c r="A174" t="s">
        <v>24</v>
      </c>
      <c r="B174">
        <v>86</v>
      </c>
      <c r="C174">
        <v>18</v>
      </c>
    </row>
    <row r="175" spans="1:3" x14ac:dyDescent="0.25">
      <c r="A175" t="s">
        <v>18</v>
      </c>
      <c r="B175">
        <v>86</v>
      </c>
      <c r="C175">
        <v>4</v>
      </c>
    </row>
    <row r="176" spans="1:3" x14ac:dyDescent="0.25">
      <c r="A176" t="s">
        <v>28</v>
      </c>
      <c r="B176">
        <v>62</v>
      </c>
      <c r="C176">
        <v>51</v>
      </c>
    </row>
    <row r="177" spans="1:3" x14ac:dyDescent="0.25">
      <c r="A177" t="s">
        <v>24</v>
      </c>
      <c r="B177">
        <v>52</v>
      </c>
      <c r="C177">
        <v>13</v>
      </c>
    </row>
    <row r="178" spans="1:3" x14ac:dyDescent="0.25">
      <c r="A178" t="s">
        <v>24</v>
      </c>
      <c r="B178">
        <v>48</v>
      </c>
      <c r="C178">
        <v>20</v>
      </c>
    </row>
    <row r="179" spans="1:3" x14ac:dyDescent="0.25">
      <c r="A179" t="s">
        <v>28</v>
      </c>
      <c r="B179">
        <v>27</v>
      </c>
      <c r="C179">
        <v>9</v>
      </c>
    </row>
    <row r="180" spans="1:3" x14ac:dyDescent="0.25">
      <c r="A180" t="s">
        <v>24</v>
      </c>
      <c r="B180">
        <v>24</v>
      </c>
      <c r="C180">
        <v>2</v>
      </c>
    </row>
    <row r="181" spans="1:3" x14ac:dyDescent="0.25">
      <c r="A181" t="s">
        <v>34</v>
      </c>
      <c r="B181">
        <v>24</v>
      </c>
      <c r="C181">
        <v>24</v>
      </c>
    </row>
    <row r="182" spans="1:3" x14ac:dyDescent="0.25">
      <c r="A182" t="s">
        <v>24</v>
      </c>
      <c r="B182">
        <v>23</v>
      </c>
      <c r="C182">
        <v>0</v>
      </c>
    </row>
    <row r="183" spans="1:3" x14ac:dyDescent="0.25">
      <c r="A183" t="s">
        <v>28</v>
      </c>
      <c r="B183">
        <v>20</v>
      </c>
      <c r="C183">
        <v>1</v>
      </c>
    </row>
    <row r="184" spans="1:3" x14ac:dyDescent="0.25">
      <c r="A184" t="s">
        <v>24</v>
      </c>
      <c r="B184">
        <v>18</v>
      </c>
      <c r="C184">
        <v>0</v>
      </c>
    </row>
    <row r="185" spans="1:3" x14ac:dyDescent="0.25">
      <c r="A185" t="s">
        <v>24</v>
      </c>
      <c r="B185">
        <v>17</v>
      </c>
      <c r="C185">
        <v>2</v>
      </c>
    </row>
    <row r="186" spans="1:3" x14ac:dyDescent="0.25">
      <c r="A186" t="s">
        <v>18</v>
      </c>
      <c r="B186">
        <v>14</v>
      </c>
      <c r="C186">
        <v>1</v>
      </c>
    </row>
    <row r="187" spans="1:3" x14ac:dyDescent="0.25">
      <c r="A187" t="s">
        <v>18</v>
      </c>
      <c r="B187">
        <v>12</v>
      </c>
      <c r="C187">
        <v>0</v>
      </c>
    </row>
    <row r="188" spans="1:3" x14ac:dyDescent="0.25">
      <c r="A188" t="s">
        <v>20</v>
      </c>
      <c r="B188">
        <v>10</v>
      </c>
      <c r="C188">
        <v>1</v>
      </c>
    </row>
  </sheetData>
  <conditionalFormatting sqref="B1:B1048576">
    <cfRule type="colorScale" priority="1">
      <colorScale>
        <cfvo type="min"/>
        <cfvo type="max"/>
        <color rgb="FFFF8BAC"/>
        <color rgb="FFF74779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7B16-4D64-41BB-BFCB-6E8C033DE6F6}">
  <dimension ref="A1:A2"/>
  <sheetViews>
    <sheetView tabSelected="1" topLeftCell="A7" zoomScale="85" zoomScaleNormal="85" workbookViewId="0">
      <selection activeCell="AG20" sqref="AG20"/>
    </sheetView>
  </sheetViews>
  <sheetFormatPr defaultRowHeight="15" x14ac:dyDescent="0.25"/>
  <sheetData>
    <row r="1" customFormat="1" ht="17.25" customHeight="1" x14ac:dyDescent="0.25"/>
    <row r="2" customFormat="1" ht="57.75" customHeight="1" x14ac:dyDescent="0.25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28E7-0C3A-45B6-881E-580A4FCABAEE}">
  <dimension ref="A1:W57"/>
  <sheetViews>
    <sheetView workbookViewId="0">
      <selection activeCell="C34" sqref="C34"/>
    </sheetView>
  </sheetViews>
  <sheetFormatPr defaultRowHeight="15" x14ac:dyDescent="0.25"/>
  <cols>
    <col min="1" max="1" width="21.7109375" bestFit="1" customWidth="1"/>
    <col min="2" max="4" width="17.28515625" bestFit="1" customWidth="1"/>
    <col min="5" max="5" width="13.28515625" bestFit="1" customWidth="1"/>
    <col min="7" max="7" width="16.140625" bestFit="1" customWidth="1"/>
    <col min="8" max="8" width="12.7109375" bestFit="1" customWidth="1"/>
    <col min="10" max="10" width="18.42578125" bestFit="1" customWidth="1"/>
    <col min="11" max="11" width="15" bestFit="1" customWidth="1"/>
    <col min="13" max="13" width="31.85546875" bestFit="1" customWidth="1"/>
    <col min="14" max="14" width="28.42578125" bestFit="1" customWidth="1"/>
    <col min="16" max="16" width="17.42578125" bestFit="1" customWidth="1"/>
    <col min="17" max="17" width="14" bestFit="1" customWidth="1"/>
    <col min="19" max="19" width="24.85546875" bestFit="1" customWidth="1"/>
    <col min="20" max="20" width="21.5703125" bestFit="1" customWidth="1"/>
    <col min="22" max="22" width="25.5703125" bestFit="1" customWidth="1"/>
    <col min="23" max="23" width="21.7109375" bestFit="1" customWidth="1"/>
  </cols>
  <sheetData>
    <row r="1" spans="1:23" x14ac:dyDescent="0.25">
      <c r="A1" s="9" t="s">
        <v>232</v>
      </c>
      <c r="B1" s="9" t="s">
        <v>216</v>
      </c>
      <c r="C1" s="9" t="s">
        <v>217</v>
      </c>
      <c r="D1" s="9" t="s">
        <v>218</v>
      </c>
      <c r="E1" s="9" t="s">
        <v>219</v>
      </c>
      <c r="G1" s="11" t="s">
        <v>220</v>
      </c>
      <c r="H1" s="11" t="s">
        <v>221</v>
      </c>
      <c r="J1" s="11" t="s">
        <v>222</v>
      </c>
      <c r="K1" s="11" t="s">
        <v>223</v>
      </c>
      <c r="M1" s="11" t="s">
        <v>224</v>
      </c>
      <c r="N1" s="11" t="s">
        <v>225</v>
      </c>
      <c r="P1" s="11" t="s">
        <v>226</v>
      </c>
      <c r="Q1" s="11" t="s">
        <v>227</v>
      </c>
      <c r="S1" s="11" t="s">
        <v>228</v>
      </c>
      <c r="T1" s="11" t="s">
        <v>229</v>
      </c>
      <c r="V1" s="11" t="s">
        <v>230</v>
      </c>
      <c r="W1" s="11" t="s">
        <v>231</v>
      </c>
    </row>
    <row r="2" spans="1:23" x14ac:dyDescent="0.25">
      <c r="A2" s="8" t="s">
        <v>24</v>
      </c>
      <c r="B2">
        <v>8839286</v>
      </c>
      <c r="C2">
        <v>342732</v>
      </c>
      <c r="D2">
        <v>4468616</v>
      </c>
      <c r="E2">
        <v>4027938</v>
      </c>
      <c r="G2" s="2">
        <v>27973</v>
      </c>
      <c r="H2" s="3">
        <v>1163</v>
      </c>
      <c r="J2" s="2">
        <v>86</v>
      </c>
      <c r="K2" s="3">
        <v>3</v>
      </c>
      <c r="M2" s="2">
        <v>36263</v>
      </c>
      <c r="N2" s="3">
        <v>1269</v>
      </c>
      <c r="P2" s="2">
        <v>4880</v>
      </c>
      <c r="Q2" s="3">
        <v>144</v>
      </c>
      <c r="S2" s="2">
        <v>226225</v>
      </c>
      <c r="T2" s="3">
        <v>2965</v>
      </c>
      <c r="V2" s="2">
        <v>15303</v>
      </c>
      <c r="W2" s="3">
        <v>167</v>
      </c>
    </row>
    <row r="3" spans="1:23" x14ac:dyDescent="0.25">
      <c r="A3" s="8" t="s">
        <v>18</v>
      </c>
      <c r="B3">
        <v>3299523</v>
      </c>
      <c r="C3">
        <v>211144</v>
      </c>
      <c r="D3">
        <v>1993723</v>
      </c>
      <c r="E3">
        <v>1094656</v>
      </c>
      <c r="G3" s="4">
        <v>950</v>
      </c>
      <c r="H3" s="5">
        <v>41</v>
      </c>
      <c r="J3" s="4">
        <v>167416</v>
      </c>
      <c r="K3" s="5">
        <v>3059</v>
      </c>
      <c r="M3" s="4">
        <v>39482</v>
      </c>
      <c r="N3" s="5">
        <v>141</v>
      </c>
      <c r="P3" s="4">
        <v>907</v>
      </c>
      <c r="Q3" s="5">
        <v>52</v>
      </c>
      <c r="S3" s="4">
        <v>99</v>
      </c>
      <c r="T3" s="5">
        <v>0</v>
      </c>
      <c r="V3" s="4">
        <v>141</v>
      </c>
      <c r="W3" s="5">
        <v>3</v>
      </c>
    </row>
    <row r="4" spans="1:23" x14ac:dyDescent="0.25">
      <c r="A4" s="8" t="s">
        <v>34</v>
      </c>
      <c r="B4">
        <v>1835297</v>
      </c>
      <c r="C4">
        <v>41349</v>
      </c>
      <c r="D4">
        <v>1156933</v>
      </c>
      <c r="E4">
        <v>637015</v>
      </c>
      <c r="G4" s="2">
        <v>1770</v>
      </c>
      <c r="H4" s="3">
        <v>35</v>
      </c>
      <c r="J4" s="2">
        <v>382</v>
      </c>
      <c r="K4" s="3">
        <v>11</v>
      </c>
      <c r="M4" s="2">
        <v>5059</v>
      </c>
      <c r="N4" s="3">
        <v>58</v>
      </c>
      <c r="P4" s="2">
        <v>37390</v>
      </c>
      <c r="Q4" s="3">
        <v>711</v>
      </c>
      <c r="S4" s="2">
        <v>350</v>
      </c>
      <c r="T4" s="3">
        <v>6</v>
      </c>
      <c r="V4" s="2">
        <v>226</v>
      </c>
      <c r="W4" s="3">
        <v>0</v>
      </c>
    </row>
    <row r="5" spans="1:23" x14ac:dyDescent="0.25">
      <c r="A5" s="8" t="s">
        <v>16</v>
      </c>
      <c r="B5">
        <v>1490744</v>
      </c>
      <c r="C5">
        <v>38339</v>
      </c>
      <c r="D5">
        <v>1201400</v>
      </c>
      <c r="E5">
        <v>251005</v>
      </c>
      <c r="G5" s="4">
        <v>739</v>
      </c>
      <c r="H5" s="5">
        <v>2</v>
      </c>
      <c r="J5" s="4">
        <v>110</v>
      </c>
      <c r="K5" s="5">
        <v>7</v>
      </c>
      <c r="M5" s="4">
        <v>92482</v>
      </c>
      <c r="N5" s="5">
        <v>4652</v>
      </c>
      <c r="P5" s="4">
        <v>20558</v>
      </c>
      <c r="Q5" s="5">
        <v>713</v>
      </c>
      <c r="S5" s="4">
        <v>1480073</v>
      </c>
      <c r="T5" s="5">
        <v>33408</v>
      </c>
      <c r="V5" s="4">
        <v>86783</v>
      </c>
      <c r="W5" s="5">
        <v>4656</v>
      </c>
    </row>
    <row r="6" spans="1:23" x14ac:dyDescent="0.25">
      <c r="A6" s="8" t="s">
        <v>20</v>
      </c>
      <c r="B6">
        <v>723207</v>
      </c>
      <c r="C6">
        <v>12223</v>
      </c>
      <c r="D6">
        <v>440645</v>
      </c>
      <c r="E6">
        <v>270339</v>
      </c>
      <c r="G6" s="2">
        <v>1100</v>
      </c>
      <c r="H6" s="3">
        <v>53</v>
      </c>
      <c r="J6" s="2">
        <v>48</v>
      </c>
      <c r="K6" s="3">
        <v>2</v>
      </c>
      <c r="M6" s="2">
        <v>293606</v>
      </c>
      <c r="N6" s="3">
        <v>15912</v>
      </c>
      <c r="P6" s="2">
        <v>30446</v>
      </c>
      <c r="Q6" s="3">
        <v>423</v>
      </c>
      <c r="S6" s="2">
        <v>100303</v>
      </c>
      <c r="T6" s="3">
        <v>4838</v>
      </c>
      <c r="V6" s="2">
        <v>27</v>
      </c>
      <c r="W6" s="3">
        <v>0</v>
      </c>
    </row>
    <row r="7" spans="1:23" x14ac:dyDescent="0.25">
      <c r="A7" s="8" t="s">
        <v>28</v>
      </c>
      <c r="B7">
        <v>292428</v>
      </c>
      <c r="C7">
        <v>8249</v>
      </c>
      <c r="D7">
        <v>206770</v>
      </c>
      <c r="E7">
        <v>77409</v>
      </c>
      <c r="G7" s="4">
        <v>378</v>
      </c>
      <c r="H7" s="5">
        <v>1</v>
      </c>
      <c r="J7" s="4">
        <v>71181</v>
      </c>
      <c r="K7" s="5">
        <v>2647</v>
      </c>
      <c r="M7" s="4">
        <v>112585</v>
      </c>
      <c r="N7" s="5">
        <v>4458</v>
      </c>
      <c r="P7" s="4">
        <v>67251</v>
      </c>
      <c r="Q7" s="5">
        <v>538</v>
      </c>
      <c r="S7" s="4">
        <v>3369</v>
      </c>
      <c r="T7" s="5">
        <v>15</v>
      </c>
      <c r="V7" s="4">
        <v>31142</v>
      </c>
      <c r="W7" s="5">
        <v>998</v>
      </c>
    </row>
    <row r="8" spans="1:23" x14ac:dyDescent="0.25">
      <c r="G8" s="2">
        <v>2328</v>
      </c>
      <c r="H8" s="3">
        <v>22</v>
      </c>
      <c r="J8" s="2">
        <v>2442375</v>
      </c>
      <c r="K8" s="3">
        <v>87618</v>
      </c>
      <c r="M8" s="2">
        <v>1176</v>
      </c>
      <c r="N8" s="3">
        <v>11</v>
      </c>
      <c r="P8" s="2">
        <v>66428</v>
      </c>
      <c r="Q8" s="3">
        <v>9822</v>
      </c>
      <c r="S8" s="2">
        <v>18752</v>
      </c>
      <c r="T8" s="3">
        <v>48</v>
      </c>
      <c r="V8" s="2">
        <v>20</v>
      </c>
      <c r="W8" s="3">
        <v>0</v>
      </c>
    </row>
    <row r="9" spans="1:23" x14ac:dyDescent="0.25">
      <c r="A9" s="9" t="s">
        <v>233</v>
      </c>
      <c r="B9" s="9" t="s">
        <v>216</v>
      </c>
      <c r="C9" s="9" t="s">
        <v>217</v>
      </c>
      <c r="D9" s="9" t="s">
        <v>218</v>
      </c>
      <c r="E9" s="9" t="s">
        <v>219</v>
      </c>
      <c r="G9" s="4">
        <v>17110</v>
      </c>
      <c r="H9" s="5">
        <v>391</v>
      </c>
      <c r="J9" s="4">
        <v>116458</v>
      </c>
      <c r="K9" s="5">
        <v>8944</v>
      </c>
      <c r="M9" s="4">
        <v>64379</v>
      </c>
      <c r="N9" s="5">
        <v>438</v>
      </c>
      <c r="P9" s="4">
        <v>10498</v>
      </c>
      <c r="Q9" s="5">
        <v>294</v>
      </c>
      <c r="S9" s="4">
        <v>2805</v>
      </c>
      <c r="T9" s="5">
        <v>11</v>
      </c>
      <c r="V9" s="4">
        <v>8904</v>
      </c>
      <c r="W9" s="5">
        <v>124</v>
      </c>
    </row>
    <row r="10" spans="1:23" x14ac:dyDescent="0.25">
      <c r="A10" s="8" t="s">
        <v>195</v>
      </c>
      <c r="B10">
        <v>4290259</v>
      </c>
      <c r="C10">
        <v>148011</v>
      </c>
      <c r="D10">
        <v>1325804</v>
      </c>
      <c r="E10">
        <v>2816444</v>
      </c>
      <c r="G10" s="2">
        <v>4599</v>
      </c>
      <c r="H10" s="3">
        <v>59</v>
      </c>
      <c r="J10" s="2">
        <v>347923</v>
      </c>
      <c r="K10" s="3">
        <v>9187</v>
      </c>
      <c r="M10" s="2">
        <v>3882</v>
      </c>
      <c r="N10" s="3">
        <v>51</v>
      </c>
      <c r="P10" s="2">
        <v>10621</v>
      </c>
      <c r="Q10" s="3">
        <v>347</v>
      </c>
      <c r="S10" s="2">
        <v>3297</v>
      </c>
      <c r="T10" s="3">
        <v>58</v>
      </c>
      <c r="V10" s="2">
        <v>289</v>
      </c>
      <c r="W10" s="3">
        <v>0</v>
      </c>
    </row>
    <row r="11" spans="1:23" x14ac:dyDescent="0.25">
      <c r="A11" s="8" t="s">
        <v>199</v>
      </c>
      <c r="B11">
        <v>301708</v>
      </c>
      <c r="C11">
        <v>45844</v>
      </c>
      <c r="D11">
        <v>1437</v>
      </c>
      <c r="E11">
        <v>254427</v>
      </c>
      <c r="G11" s="4">
        <v>922</v>
      </c>
      <c r="H11" s="5">
        <v>75</v>
      </c>
      <c r="J11" s="4">
        <v>257101</v>
      </c>
      <c r="K11" s="5">
        <v>8777</v>
      </c>
      <c r="M11" s="4">
        <v>2827</v>
      </c>
      <c r="N11" s="5">
        <v>64</v>
      </c>
      <c r="P11" s="4">
        <v>4881</v>
      </c>
      <c r="Q11" s="5">
        <v>139</v>
      </c>
      <c r="S11" s="4">
        <v>24</v>
      </c>
      <c r="T11" s="5">
        <v>0</v>
      </c>
      <c r="V11" s="4">
        <v>1557</v>
      </c>
      <c r="W11" s="5">
        <v>22</v>
      </c>
    </row>
    <row r="12" spans="1:23" x14ac:dyDescent="0.25">
      <c r="A12" s="8" t="s">
        <v>176</v>
      </c>
      <c r="B12">
        <v>452529</v>
      </c>
      <c r="C12">
        <v>7067</v>
      </c>
      <c r="D12">
        <v>274925</v>
      </c>
      <c r="E12">
        <v>170537</v>
      </c>
      <c r="G12" s="2">
        <v>354</v>
      </c>
      <c r="H12" s="3">
        <v>7</v>
      </c>
      <c r="J12" s="2">
        <v>15841</v>
      </c>
      <c r="K12" s="3">
        <v>115</v>
      </c>
      <c r="M12" s="2">
        <v>20887</v>
      </c>
      <c r="N12" s="3">
        <v>316</v>
      </c>
      <c r="P12" s="2">
        <v>1060</v>
      </c>
      <c r="Q12" s="3">
        <v>19</v>
      </c>
      <c r="V12" s="2">
        <v>62</v>
      </c>
      <c r="W12" s="3">
        <v>0</v>
      </c>
    </row>
    <row r="13" spans="1:23" x14ac:dyDescent="0.25">
      <c r="A13" s="8" t="s">
        <v>160</v>
      </c>
      <c r="B13">
        <v>816680</v>
      </c>
      <c r="C13">
        <v>13334</v>
      </c>
      <c r="D13">
        <v>602249</v>
      </c>
      <c r="E13">
        <v>201097</v>
      </c>
      <c r="G13" s="4">
        <v>3200</v>
      </c>
      <c r="H13" s="5">
        <v>54</v>
      </c>
      <c r="J13" s="4">
        <v>2532</v>
      </c>
      <c r="K13" s="5">
        <v>87</v>
      </c>
      <c r="M13" s="4">
        <v>77058</v>
      </c>
      <c r="N13" s="5">
        <v>393</v>
      </c>
      <c r="P13" s="4">
        <v>15516</v>
      </c>
      <c r="Q13" s="5">
        <v>373</v>
      </c>
      <c r="V13" s="4">
        <v>82040</v>
      </c>
      <c r="W13" s="5">
        <v>1945</v>
      </c>
    </row>
    <row r="14" spans="1:23" x14ac:dyDescent="0.25">
      <c r="A14" s="8" t="s">
        <v>154</v>
      </c>
      <c r="B14">
        <v>389717</v>
      </c>
      <c r="C14">
        <v>18418</v>
      </c>
      <c r="D14">
        <v>272547</v>
      </c>
      <c r="E14">
        <v>98752</v>
      </c>
      <c r="G14" s="2">
        <v>8844</v>
      </c>
      <c r="H14" s="3">
        <v>208</v>
      </c>
      <c r="J14" s="2">
        <v>18</v>
      </c>
      <c r="K14" s="3">
        <v>0</v>
      </c>
      <c r="M14" s="2">
        <v>274289</v>
      </c>
      <c r="N14" s="3">
        <v>5842</v>
      </c>
      <c r="P14" s="2">
        <v>13761</v>
      </c>
      <c r="Q14" s="3">
        <v>613</v>
      </c>
      <c r="V14" s="2">
        <v>50838</v>
      </c>
      <c r="W14" s="3">
        <v>27</v>
      </c>
    </row>
    <row r="15" spans="1:23" x14ac:dyDescent="0.25">
      <c r="A15" s="8" t="s">
        <v>133</v>
      </c>
      <c r="B15">
        <v>395489</v>
      </c>
      <c r="C15">
        <v>44022</v>
      </c>
      <c r="D15">
        <v>303810</v>
      </c>
      <c r="E15">
        <v>47657</v>
      </c>
      <c r="G15" s="4">
        <v>15655</v>
      </c>
      <c r="H15" s="5">
        <v>96</v>
      </c>
      <c r="J15" s="4">
        <v>64156</v>
      </c>
      <c r="K15" s="5">
        <v>1083</v>
      </c>
      <c r="M15" s="4">
        <v>109597</v>
      </c>
      <c r="N15" s="5">
        <v>165</v>
      </c>
      <c r="P15" s="4">
        <v>2034</v>
      </c>
      <c r="Q15" s="5">
        <v>69</v>
      </c>
      <c r="V15" s="4">
        <v>14203</v>
      </c>
      <c r="W15" s="5">
        <v>300</v>
      </c>
    </row>
    <row r="16" spans="1:23" x14ac:dyDescent="0.25">
      <c r="A16" s="8" t="s">
        <v>103</v>
      </c>
      <c r="B16">
        <v>293606</v>
      </c>
      <c r="C16">
        <v>15912</v>
      </c>
      <c r="D16">
        <v>255144</v>
      </c>
      <c r="E16">
        <v>22550</v>
      </c>
      <c r="G16" s="2">
        <v>3071</v>
      </c>
      <c r="H16" s="3">
        <v>51</v>
      </c>
      <c r="J16" s="2">
        <v>81161</v>
      </c>
      <c r="K16" s="3">
        <v>5532</v>
      </c>
      <c r="M16" s="2">
        <v>268934</v>
      </c>
      <c r="N16" s="3">
        <v>2760</v>
      </c>
      <c r="P16" s="2">
        <v>7398</v>
      </c>
      <c r="Q16" s="3">
        <v>329</v>
      </c>
      <c r="V16" s="2">
        <v>462</v>
      </c>
      <c r="W16" s="3">
        <v>7</v>
      </c>
    </row>
    <row r="17" spans="1:23" x14ac:dyDescent="0.25">
      <c r="A17" s="8" t="s">
        <v>101</v>
      </c>
      <c r="B17">
        <v>1480073</v>
      </c>
      <c r="C17">
        <v>33408</v>
      </c>
      <c r="D17">
        <v>951166</v>
      </c>
      <c r="E17">
        <v>495499</v>
      </c>
      <c r="G17" s="4">
        <v>265</v>
      </c>
      <c r="H17" s="5">
        <v>0</v>
      </c>
      <c r="J17" s="4">
        <v>15035</v>
      </c>
      <c r="K17" s="5">
        <v>408</v>
      </c>
      <c r="M17" s="4">
        <v>3196</v>
      </c>
      <c r="N17" s="5">
        <v>93</v>
      </c>
      <c r="P17" s="4">
        <v>220352</v>
      </c>
      <c r="Q17" s="5">
        <v>30212</v>
      </c>
      <c r="V17" s="4">
        <v>431</v>
      </c>
      <c r="W17" s="5">
        <v>0</v>
      </c>
    </row>
    <row r="18" spans="1:23" x14ac:dyDescent="0.25">
      <c r="A18" s="8" t="s">
        <v>57</v>
      </c>
      <c r="B18">
        <v>347923</v>
      </c>
      <c r="C18">
        <v>9187</v>
      </c>
      <c r="D18">
        <v>319954</v>
      </c>
      <c r="E18">
        <v>18782</v>
      </c>
      <c r="G18" s="2">
        <v>2316</v>
      </c>
      <c r="H18" s="3">
        <v>34</v>
      </c>
      <c r="J18" s="2">
        <v>23</v>
      </c>
      <c r="K18" s="3">
        <v>0</v>
      </c>
      <c r="M18" s="2">
        <v>11424</v>
      </c>
      <c r="N18" s="3">
        <v>720</v>
      </c>
      <c r="P18" s="2">
        <v>1137</v>
      </c>
      <c r="Q18" s="3">
        <v>16</v>
      </c>
    </row>
    <row r="19" spans="1:23" x14ac:dyDescent="0.25">
      <c r="A19" s="8" t="s">
        <v>44</v>
      </c>
      <c r="B19">
        <v>2442375</v>
      </c>
      <c r="C19">
        <v>87618</v>
      </c>
      <c r="D19">
        <v>1846641</v>
      </c>
      <c r="E19">
        <v>508116</v>
      </c>
      <c r="G19" s="4">
        <v>14547</v>
      </c>
      <c r="H19" s="5">
        <v>228</v>
      </c>
      <c r="J19" s="4">
        <v>45309</v>
      </c>
      <c r="K19" s="5">
        <v>1761</v>
      </c>
      <c r="M19" s="4">
        <v>674</v>
      </c>
      <c r="N19" s="5">
        <v>40</v>
      </c>
      <c r="P19" s="4">
        <v>207112</v>
      </c>
      <c r="Q19" s="5">
        <v>9125</v>
      </c>
    </row>
    <row r="20" spans="1:23" x14ac:dyDescent="0.25">
      <c r="G20" s="2">
        <v>7189</v>
      </c>
      <c r="H20" s="3">
        <v>49</v>
      </c>
      <c r="J20" s="2">
        <v>389</v>
      </c>
      <c r="K20" s="3">
        <v>20</v>
      </c>
      <c r="M20" s="2">
        <v>1455</v>
      </c>
      <c r="N20" s="3">
        <v>50</v>
      </c>
      <c r="P20" s="2">
        <v>4227</v>
      </c>
      <c r="Q20" s="3">
        <v>202</v>
      </c>
    </row>
    <row r="21" spans="1:23" x14ac:dyDescent="0.25">
      <c r="A21" s="9" t="s">
        <v>233</v>
      </c>
      <c r="B21" s="9" t="s">
        <v>217</v>
      </c>
      <c r="C21" s="9" t="s">
        <v>216</v>
      </c>
      <c r="D21" s="9" t="s">
        <v>218</v>
      </c>
      <c r="E21" s="9" t="s">
        <v>219</v>
      </c>
      <c r="G21" s="4">
        <v>326</v>
      </c>
      <c r="H21" s="5">
        <v>8</v>
      </c>
      <c r="J21" s="4">
        <v>7340</v>
      </c>
      <c r="K21" s="5">
        <v>158</v>
      </c>
      <c r="M21" s="4">
        <v>59177</v>
      </c>
      <c r="N21" s="5">
        <v>345</v>
      </c>
      <c r="P21" s="4">
        <v>14</v>
      </c>
      <c r="Q21" s="5">
        <v>0</v>
      </c>
    </row>
    <row r="22" spans="1:23" x14ac:dyDescent="0.25">
      <c r="A22" s="8" t="s">
        <v>195</v>
      </c>
      <c r="B22">
        <v>148011</v>
      </c>
      <c r="C22">
        <v>4290259</v>
      </c>
      <c r="D22">
        <v>1325804</v>
      </c>
      <c r="E22">
        <v>2816444</v>
      </c>
      <c r="G22" s="2">
        <v>33624</v>
      </c>
      <c r="H22" s="3">
        <v>168</v>
      </c>
      <c r="J22" s="2">
        <v>39741</v>
      </c>
      <c r="K22" s="3">
        <v>1166</v>
      </c>
      <c r="M22" s="2">
        <v>10621</v>
      </c>
      <c r="N22" s="3">
        <v>78</v>
      </c>
      <c r="P22" s="2">
        <v>12</v>
      </c>
      <c r="Q22" s="3">
        <v>0</v>
      </c>
    </row>
    <row r="23" spans="1:23" x14ac:dyDescent="0.25">
      <c r="A23" s="8" t="s">
        <v>44</v>
      </c>
      <c r="B23">
        <v>87618</v>
      </c>
      <c r="C23">
        <v>2442375</v>
      </c>
      <c r="D23">
        <v>1846641</v>
      </c>
      <c r="E23">
        <v>508116</v>
      </c>
      <c r="G23" s="4">
        <v>7055</v>
      </c>
      <c r="H23" s="5">
        <v>45</v>
      </c>
      <c r="J23" s="4">
        <v>853</v>
      </c>
      <c r="K23" s="5">
        <v>10</v>
      </c>
      <c r="M23" s="4">
        <v>1691</v>
      </c>
      <c r="N23" s="5">
        <v>483</v>
      </c>
      <c r="P23" s="4">
        <v>4448</v>
      </c>
      <c r="Q23" s="5">
        <v>596</v>
      </c>
    </row>
    <row r="24" spans="1:23" x14ac:dyDescent="0.25">
      <c r="A24" s="8" t="s">
        <v>199</v>
      </c>
      <c r="B24">
        <v>45844</v>
      </c>
      <c r="C24">
        <v>301708</v>
      </c>
      <c r="D24">
        <v>1437</v>
      </c>
      <c r="E24">
        <v>254427</v>
      </c>
      <c r="G24" s="2">
        <v>1954</v>
      </c>
      <c r="H24" s="3">
        <v>26</v>
      </c>
      <c r="J24" s="2">
        <v>395489</v>
      </c>
      <c r="K24" s="3">
        <v>44022</v>
      </c>
      <c r="P24" s="2">
        <v>1854</v>
      </c>
      <c r="Q24" s="3">
        <v>10</v>
      </c>
    </row>
    <row r="25" spans="1:23" x14ac:dyDescent="0.25">
      <c r="A25" s="8" t="s">
        <v>133</v>
      </c>
      <c r="B25">
        <v>44022</v>
      </c>
      <c r="C25">
        <v>395489</v>
      </c>
      <c r="D25">
        <v>303810</v>
      </c>
      <c r="E25">
        <v>47657</v>
      </c>
      <c r="G25" s="4">
        <v>17975</v>
      </c>
      <c r="H25" s="5">
        <v>285</v>
      </c>
      <c r="J25" s="4">
        <v>3439</v>
      </c>
      <c r="K25" s="5">
        <v>108</v>
      </c>
      <c r="P25" s="4">
        <v>25892</v>
      </c>
      <c r="Q25" s="5">
        <v>1764</v>
      </c>
      <c r="S25" s="10"/>
    </row>
    <row r="26" spans="1:23" x14ac:dyDescent="0.25">
      <c r="A26" s="8" t="s">
        <v>107</v>
      </c>
      <c r="B26">
        <v>35112</v>
      </c>
      <c r="C26">
        <v>246286</v>
      </c>
      <c r="D26">
        <v>198593</v>
      </c>
      <c r="E26">
        <v>12581</v>
      </c>
      <c r="G26" s="2">
        <v>505</v>
      </c>
      <c r="H26" s="3">
        <v>12</v>
      </c>
      <c r="J26" s="2">
        <v>61442</v>
      </c>
      <c r="K26" s="3">
        <v>1322</v>
      </c>
      <c r="P26" s="2">
        <v>63985</v>
      </c>
      <c r="Q26" s="3">
        <v>474</v>
      </c>
    </row>
    <row r="27" spans="1:23" x14ac:dyDescent="0.25">
      <c r="A27" s="8" t="s">
        <v>101</v>
      </c>
      <c r="B27">
        <v>33408</v>
      </c>
      <c r="C27">
        <v>1480073</v>
      </c>
      <c r="D27">
        <v>951166</v>
      </c>
      <c r="E27">
        <v>495499</v>
      </c>
      <c r="G27" s="4">
        <v>1167</v>
      </c>
      <c r="H27" s="5">
        <v>72</v>
      </c>
      <c r="J27" s="4">
        <v>4548</v>
      </c>
      <c r="K27" s="5">
        <v>43</v>
      </c>
      <c r="P27" s="4">
        <v>246286</v>
      </c>
      <c r="Q27" s="5">
        <v>35112</v>
      </c>
    </row>
    <row r="28" spans="1:23" x14ac:dyDescent="0.25">
      <c r="A28" s="8" t="s">
        <v>83</v>
      </c>
      <c r="B28">
        <v>30212</v>
      </c>
      <c r="C28">
        <v>220352</v>
      </c>
      <c r="D28">
        <v>81212</v>
      </c>
      <c r="E28">
        <v>108928</v>
      </c>
      <c r="G28" s="2">
        <v>9690</v>
      </c>
      <c r="H28" s="3">
        <v>91</v>
      </c>
      <c r="J28" s="2">
        <v>389717</v>
      </c>
      <c r="K28" s="3">
        <v>18418</v>
      </c>
      <c r="P28" s="2">
        <v>84648</v>
      </c>
      <c r="Q28" s="3">
        <v>585</v>
      </c>
    </row>
    <row r="29" spans="1:23" x14ac:dyDescent="0.25">
      <c r="A29" s="8" t="s">
        <v>179</v>
      </c>
      <c r="B29">
        <v>28432</v>
      </c>
      <c r="C29">
        <v>272421</v>
      </c>
      <c r="D29">
        <v>150376</v>
      </c>
      <c r="E29">
        <v>93613</v>
      </c>
      <c r="G29" s="4">
        <v>3664</v>
      </c>
      <c r="H29" s="5">
        <v>99</v>
      </c>
      <c r="J29" s="4">
        <v>17</v>
      </c>
      <c r="K29" s="5">
        <v>0</v>
      </c>
      <c r="P29" s="4">
        <v>7413</v>
      </c>
      <c r="Q29" s="5">
        <v>185</v>
      </c>
    </row>
    <row r="30" spans="1:23" x14ac:dyDescent="0.25">
      <c r="A30" s="8" t="s">
        <v>154</v>
      </c>
      <c r="B30">
        <v>18418</v>
      </c>
      <c r="C30">
        <v>389717</v>
      </c>
      <c r="D30">
        <v>272547</v>
      </c>
      <c r="E30">
        <v>98752</v>
      </c>
      <c r="G30" s="2">
        <v>2513</v>
      </c>
      <c r="H30" s="3">
        <v>124</v>
      </c>
      <c r="J30" s="2">
        <v>24</v>
      </c>
      <c r="K30" s="3">
        <v>0</v>
      </c>
      <c r="P30" s="2">
        <v>33296</v>
      </c>
      <c r="Q30" s="3">
        <v>1301</v>
      </c>
    </row>
    <row r="31" spans="1:23" x14ac:dyDescent="0.25">
      <c r="A31" s="8" t="s">
        <v>103</v>
      </c>
      <c r="B31">
        <v>15912</v>
      </c>
      <c r="C31">
        <v>293606</v>
      </c>
      <c r="D31">
        <v>255144</v>
      </c>
      <c r="E31">
        <v>22550</v>
      </c>
      <c r="G31" s="4">
        <v>6208</v>
      </c>
      <c r="H31" s="5">
        <v>156</v>
      </c>
      <c r="J31" s="4">
        <v>52</v>
      </c>
      <c r="K31" s="5">
        <v>0</v>
      </c>
      <c r="P31" s="4">
        <v>1219</v>
      </c>
      <c r="Q31" s="5">
        <v>31</v>
      </c>
    </row>
    <row r="32" spans="1:23" x14ac:dyDescent="0.25">
      <c r="G32" s="2">
        <v>344</v>
      </c>
      <c r="H32" s="3">
        <v>10</v>
      </c>
      <c r="J32" s="2">
        <v>1483</v>
      </c>
      <c r="K32" s="3">
        <v>24</v>
      </c>
      <c r="P32" s="2">
        <v>86</v>
      </c>
      <c r="Q32" s="3">
        <v>1</v>
      </c>
    </row>
    <row r="33" spans="7:17" x14ac:dyDescent="0.25">
      <c r="G33" s="4">
        <v>1701</v>
      </c>
      <c r="H33" s="5">
        <v>11</v>
      </c>
      <c r="J33" s="4">
        <v>148</v>
      </c>
      <c r="K33" s="5">
        <v>8</v>
      </c>
      <c r="P33" s="4">
        <v>2019</v>
      </c>
      <c r="Q33" s="5">
        <v>80</v>
      </c>
    </row>
    <row r="34" spans="7:17" x14ac:dyDescent="0.25">
      <c r="G34" s="2">
        <v>1843</v>
      </c>
      <c r="H34" s="3">
        <v>8</v>
      </c>
      <c r="J34" s="2">
        <v>4290259</v>
      </c>
      <c r="K34" s="3">
        <v>148011</v>
      </c>
      <c r="P34" s="2">
        <v>6321</v>
      </c>
      <c r="Q34" s="3">
        <v>112</v>
      </c>
    </row>
    <row r="35" spans="7:17" x14ac:dyDescent="0.25">
      <c r="G35" s="4">
        <v>1132</v>
      </c>
      <c r="H35" s="5">
        <v>69</v>
      </c>
      <c r="J35" s="4">
        <v>1202</v>
      </c>
      <c r="K35" s="5">
        <v>35</v>
      </c>
      <c r="P35" s="4">
        <v>701</v>
      </c>
      <c r="Q35" s="5">
        <v>9</v>
      </c>
    </row>
    <row r="36" spans="7:17" x14ac:dyDescent="0.25">
      <c r="G36" s="2">
        <v>41180</v>
      </c>
      <c r="H36" s="3">
        <v>860</v>
      </c>
      <c r="J36" s="2">
        <v>15988</v>
      </c>
      <c r="K36" s="3">
        <v>146</v>
      </c>
      <c r="P36" s="2">
        <v>23154</v>
      </c>
      <c r="Q36" s="3">
        <v>748</v>
      </c>
    </row>
    <row r="37" spans="7:17" x14ac:dyDescent="0.25">
      <c r="G37" s="4">
        <v>1879</v>
      </c>
      <c r="H37" s="5">
        <v>5</v>
      </c>
      <c r="P37" s="4">
        <v>116</v>
      </c>
      <c r="Q37" s="5">
        <v>4</v>
      </c>
    </row>
    <row r="38" spans="7:17" x14ac:dyDescent="0.25">
      <c r="G38" s="2">
        <v>865</v>
      </c>
      <c r="H38" s="3">
        <v>14</v>
      </c>
      <c r="P38" s="2">
        <v>2893</v>
      </c>
      <c r="Q38" s="3">
        <v>45</v>
      </c>
    </row>
    <row r="39" spans="7:17" x14ac:dyDescent="0.25">
      <c r="G39" s="4">
        <v>9764</v>
      </c>
      <c r="H39" s="5">
        <v>194</v>
      </c>
      <c r="P39" s="4">
        <v>53413</v>
      </c>
      <c r="Q39" s="5">
        <v>6160</v>
      </c>
    </row>
    <row r="40" spans="7:17" x14ac:dyDescent="0.25">
      <c r="G40" s="2">
        <v>114</v>
      </c>
      <c r="H40" s="3">
        <v>0</v>
      </c>
      <c r="P40" s="2">
        <v>10213</v>
      </c>
      <c r="Q40" s="3">
        <v>466</v>
      </c>
    </row>
    <row r="41" spans="7:17" x14ac:dyDescent="0.25">
      <c r="G41" s="4">
        <v>1783</v>
      </c>
      <c r="H41" s="5">
        <v>66</v>
      </c>
      <c r="P41" s="4">
        <v>9132</v>
      </c>
      <c r="Q41" s="5">
        <v>255</v>
      </c>
    </row>
    <row r="42" spans="7:17" x14ac:dyDescent="0.25">
      <c r="G42" s="2">
        <v>452529</v>
      </c>
      <c r="H42" s="3">
        <v>7067</v>
      </c>
      <c r="P42" s="2">
        <v>43402</v>
      </c>
      <c r="Q42" s="3">
        <v>1676</v>
      </c>
    </row>
    <row r="43" spans="7:17" x14ac:dyDescent="0.25">
      <c r="G43" s="4">
        <v>2305</v>
      </c>
      <c r="H43" s="5">
        <v>46</v>
      </c>
      <c r="P43" s="4">
        <v>50299</v>
      </c>
      <c r="Q43" s="5">
        <v>1719</v>
      </c>
    </row>
    <row r="44" spans="7:17" x14ac:dyDescent="0.25">
      <c r="G44" s="2">
        <v>509</v>
      </c>
      <c r="H44" s="3">
        <v>21</v>
      </c>
      <c r="P44" s="2">
        <v>45902</v>
      </c>
      <c r="Q44" s="3">
        <v>2206</v>
      </c>
    </row>
    <row r="45" spans="7:17" x14ac:dyDescent="0.25">
      <c r="G45" s="4">
        <v>874</v>
      </c>
      <c r="H45" s="5">
        <v>18</v>
      </c>
      <c r="P45" s="4">
        <v>816680</v>
      </c>
      <c r="Q45" s="5">
        <v>13334</v>
      </c>
    </row>
    <row r="46" spans="7:17" x14ac:dyDescent="0.25">
      <c r="G46" s="2">
        <v>1128</v>
      </c>
      <c r="H46" s="3">
        <v>2</v>
      </c>
      <c r="P46" s="2">
        <v>699</v>
      </c>
      <c r="Q46" s="3">
        <v>42</v>
      </c>
    </row>
    <row r="47" spans="7:17" x14ac:dyDescent="0.25">
      <c r="G47" s="4">
        <v>10</v>
      </c>
      <c r="H47" s="5">
        <v>1</v>
      </c>
      <c r="P47" s="4">
        <v>24141</v>
      </c>
      <c r="Q47" s="5">
        <v>543</v>
      </c>
    </row>
    <row r="48" spans="7:17" x14ac:dyDescent="0.25">
      <c r="G48" s="2">
        <v>4552</v>
      </c>
      <c r="H48" s="3">
        <v>140</v>
      </c>
      <c r="P48" s="2">
        <v>2181</v>
      </c>
      <c r="Q48" s="3">
        <v>28</v>
      </c>
    </row>
    <row r="49" spans="7:17" x14ac:dyDescent="0.25">
      <c r="G49" s="4">
        <v>2704</v>
      </c>
      <c r="H49" s="5">
        <v>36</v>
      </c>
      <c r="P49" s="4">
        <v>2087</v>
      </c>
      <c r="Q49" s="5">
        <v>116</v>
      </c>
    </row>
    <row r="50" spans="7:17" x14ac:dyDescent="0.25">
      <c r="P50" s="2">
        <v>272421</v>
      </c>
      <c r="Q50" s="3">
        <v>28432</v>
      </c>
    </row>
    <row r="51" spans="7:17" x14ac:dyDescent="0.25">
      <c r="P51" s="4">
        <v>79395</v>
      </c>
      <c r="Q51" s="5">
        <v>5700</v>
      </c>
    </row>
    <row r="52" spans="7:17" x14ac:dyDescent="0.25">
      <c r="P52" s="2">
        <v>34477</v>
      </c>
      <c r="Q52" s="3">
        <v>1978</v>
      </c>
    </row>
    <row r="53" spans="7:17" x14ac:dyDescent="0.25">
      <c r="P53" s="4">
        <v>7235</v>
      </c>
      <c r="Q53" s="5">
        <v>60</v>
      </c>
    </row>
    <row r="54" spans="7:17" x14ac:dyDescent="0.25">
      <c r="P54" s="2">
        <v>227019</v>
      </c>
      <c r="Q54" s="3">
        <v>5630</v>
      </c>
    </row>
    <row r="55" spans="7:17" x14ac:dyDescent="0.25">
      <c r="P55" s="4">
        <v>67096</v>
      </c>
      <c r="Q55" s="5">
        <v>1636</v>
      </c>
    </row>
    <row r="56" spans="7:17" x14ac:dyDescent="0.25">
      <c r="P56" s="2">
        <v>301708</v>
      </c>
      <c r="Q56" s="3">
        <v>45844</v>
      </c>
    </row>
    <row r="57" spans="7:17" x14ac:dyDescent="0.25">
      <c r="P57" s="4">
        <v>21209</v>
      </c>
      <c r="Q57" s="5">
        <v>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D5062-BDDE-4F14-92DA-1D9AABE9BF0B}">
  <dimension ref="A1:AI57"/>
  <sheetViews>
    <sheetView topLeftCell="Z1" workbookViewId="0">
      <selection activeCell="C34" sqref="C34"/>
    </sheetView>
  </sheetViews>
  <sheetFormatPr defaultRowHeight="15" x14ac:dyDescent="0.25"/>
  <cols>
    <col min="1" max="2" width="16.140625" bestFit="1" customWidth="1"/>
    <col min="4" max="5" width="18.42578125" bestFit="1" customWidth="1"/>
    <col min="7" max="8" width="31.85546875" bestFit="1" customWidth="1"/>
    <col min="10" max="11" width="17.42578125" bestFit="1" customWidth="1"/>
    <col min="13" max="14" width="24.85546875" bestFit="1" customWidth="1"/>
    <col min="16" max="17" width="25" bestFit="1" customWidth="1"/>
    <col min="19" max="20" width="16.140625" bestFit="1" customWidth="1"/>
    <col min="22" max="23" width="18.42578125" bestFit="1" customWidth="1"/>
    <col min="25" max="26" width="31.85546875" bestFit="1" customWidth="1"/>
    <col min="28" max="29" width="17.42578125" bestFit="1" customWidth="1"/>
    <col min="31" max="32" width="24.85546875" bestFit="1" customWidth="1"/>
    <col min="34" max="35" width="25" bestFit="1" customWidth="1"/>
    <col min="37" max="37" width="21.7109375" bestFit="1" customWidth="1"/>
    <col min="38" max="38" width="17.28515625" bestFit="1" customWidth="1"/>
  </cols>
  <sheetData>
    <row r="1" spans="1:35" x14ac:dyDescent="0.25">
      <c r="A1" t="s">
        <v>220</v>
      </c>
      <c r="B1" t="s">
        <v>240</v>
      </c>
      <c r="D1" t="s">
        <v>222</v>
      </c>
      <c r="E1" t="s">
        <v>241</v>
      </c>
      <c r="G1" t="s">
        <v>224</v>
      </c>
      <c r="H1" t="s">
        <v>242</v>
      </c>
      <c r="J1" t="s">
        <v>226</v>
      </c>
      <c r="K1" t="s">
        <v>243</v>
      </c>
      <c r="M1" t="s">
        <v>228</v>
      </c>
      <c r="N1" t="s">
        <v>244</v>
      </c>
      <c r="P1" t="s">
        <v>245</v>
      </c>
      <c r="Q1" t="s">
        <v>246</v>
      </c>
      <c r="S1" t="s">
        <v>220</v>
      </c>
      <c r="T1" t="s">
        <v>247</v>
      </c>
      <c r="V1" t="s">
        <v>222</v>
      </c>
      <c r="W1" t="s">
        <v>248</v>
      </c>
      <c r="Y1" t="s">
        <v>224</v>
      </c>
      <c r="Z1" t="s">
        <v>249</v>
      </c>
      <c r="AB1" t="s">
        <v>226</v>
      </c>
      <c r="AC1" t="s">
        <v>250</v>
      </c>
      <c r="AE1" t="s">
        <v>228</v>
      </c>
      <c r="AF1" t="s">
        <v>251</v>
      </c>
      <c r="AH1" t="s">
        <v>245</v>
      </c>
      <c r="AI1" t="s">
        <v>252</v>
      </c>
    </row>
    <row r="2" spans="1:35" x14ac:dyDescent="0.25">
      <c r="A2" s="2">
        <v>452529</v>
      </c>
      <c r="B2" s="3">
        <v>274925</v>
      </c>
      <c r="D2" s="2">
        <v>4290259</v>
      </c>
      <c r="E2" s="3">
        <v>1325804</v>
      </c>
      <c r="G2" s="2">
        <v>293606</v>
      </c>
      <c r="H2" s="3">
        <v>255144</v>
      </c>
      <c r="J2" s="2">
        <v>816680</v>
      </c>
      <c r="K2" s="3">
        <v>602249</v>
      </c>
      <c r="M2" s="2">
        <v>1480073</v>
      </c>
      <c r="N2" s="3">
        <v>951166</v>
      </c>
      <c r="P2" s="2">
        <v>86783</v>
      </c>
      <c r="Q2" s="3">
        <v>78869</v>
      </c>
      <c r="S2" s="2">
        <v>452529</v>
      </c>
      <c r="T2" s="3">
        <v>170537</v>
      </c>
      <c r="V2" s="2">
        <v>4290259</v>
      </c>
      <c r="W2" s="3">
        <v>2816444</v>
      </c>
      <c r="Y2" s="2">
        <v>293606</v>
      </c>
      <c r="Z2" s="3">
        <v>22550</v>
      </c>
      <c r="AB2" s="2">
        <v>816680</v>
      </c>
      <c r="AC2" s="3">
        <v>201097</v>
      </c>
      <c r="AE2" s="2">
        <v>1480073</v>
      </c>
      <c r="AF2" s="3">
        <v>495499</v>
      </c>
      <c r="AH2" s="2">
        <v>86783</v>
      </c>
      <c r="AI2" s="3">
        <v>3258</v>
      </c>
    </row>
    <row r="3" spans="1:35" x14ac:dyDescent="0.25">
      <c r="A3" s="4">
        <v>41180</v>
      </c>
      <c r="B3" s="5">
        <v>18203</v>
      </c>
      <c r="D3" s="4">
        <v>2442375</v>
      </c>
      <c r="E3" s="5">
        <v>1846641</v>
      </c>
      <c r="G3" s="4">
        <v>274289</v>
      </c>
      <c r="H3" s="5">
        <v>241026</v>
      </c>
      <c r="J3" s="4">
        <v>301708</v>
      </c>
      <c r="K3" s="5">
        <v>1437</v>
      </c>
      <c r="M3" s="4">
        <v>226225</v>
      </c>
      <c r="N3" s="5">
        <v>125683</v>
      </c>
      <c r="P3" s="4">
        <v>82040</v>
      </c>
      <c r="Q3" s="5">
        <v>26446</v>
      </c>
      <c r="S3" s="4">
        <v>41180</v>
      </c>
      <c r="T3" s="5">
        <v>22117</v>
      </c>
      <c r="V3" s="4">
        <v>2442375</v>
      </c>
      <c r="W3" s="5">
        <v>508116</v>
      </c>
      <c r="Y3" s="4">
        <v>274289</v>
      </c>
      <c r="Z3" s="5">
        <v>27421</v>
      </c>
      <c r="AB3" s="4">
        <v>301708</v>
      </c>
      <c r="AC3" s="5">
        <v>254427</v>
      </c>
      <c r="AE3" s="4">
        <v>226225</v>
      </c>
      <c r="AF3" s="5">
        <v>97577</v>
      </c>
      <c r="AH3" s="4">
        <v>82040</v>
      </c>
      <c r="AI3" s="5">
        <v>53649</v>
      </c>
    </row>
    <row r="4" spans="1:35" x14ac:dyDescent="0.25">
      <c r="A4" s="2">
        <v>33624</v>
      </c>
      <c r="B4" s="3">
        <v>29801</v>
      </c>
      <c r="D4" s="2">
        <v>395489</v>
      </c>
      <c r="E4" s="3">
        <v>303810</v>
      </c>
      <c r="G4" s="2">
        <v>268934</v>
      </c>
      <c r="H4" s="3">
        <v>222936</v>
      </c>
      <c r="J4" s="2">
        <v>272421</v>
      </c>
      <c r="K4" s="3">
        <v>150376</v>
      </c>
      <c r="M4" s="2">
        <v>100303</v>
      </c>
      <c r="N4" s="3">
        <v>58173</v>
      </c>
      <c r="P4" s="2">
        <v>50838</v>
      </c>
      <c r="Q4" s="3">
        <v>45692</v>
      </c>
      <c r="S4" s="2">
        <v>33624</v>
      </c>
      <c r="T4" s="3">
        <v>3655</v>
      </c>
      <c r="V4" s="2">
        <v>395489</v>
      </c>
      <c r="W4" s="3">
        <v>47657</v>
      </c>
      <c r="Y4" s="2">
        <v>268934</v>
      </c>
      <c r="Z4" s="3">
        <v>43238</v>
      </c>
      <c r="AB4" s="2">
        <v>272421</v>
      </c>
      <c r="AC4" s="3">
        <v>93613</v>
      </c>
      <c r="AE4" s="2">
        <v>100303</v>
      </c>
      <c r="AF4" s="3">
        <v>37292</v>
      </c>
      <c r="AH4" s="2">
        <v>50838</v>
      </c>
      <c r="AI4" s="3">
        <v>5119</v>
      </c>
    </row>
    <row r="5" spans="1:35" x14ac:dyDescent="0.25">
      <c r="A5" s="4">
        <v>27973</v>
      </c>
      <c r="B5" s="5">
        <v>18837</v>
      </c>
      <c r="D5" s="4">
        <v>389717</v>
      </c>
      <c r="E5" s="5">
        <v>272547</v>
      </c>
      <c r="G5" s="4">
        <v>112585</v>
      </c>
      <c r="H5" s="5">
        <v>77144</v>
      </c>
      <c r="J5" s="4">
        <v>246286</v>
      </c>
      <c r="K5" s="5">
        <v>198593</v>
      </c>
      <c r="M5" s="4">
        <v>18752</v>
      </c>
      <c r="N5" s="5">
        <v>13754</v>
      </c>
      <c r="P5" s="4">
        <v>31142</v>
      </c>
      <c r="Q5" s="5">
        <v>21970</v>
      </c>
      <c r="S5" s="4">
        <v>27973</v>
      </c>
      <c r="T5" s="5">
        <v>7973</v>
      </c>
      <c r="V5" s="4">
        <v>389717</v>
      </c>
      <c r="W5" s="5">
        <v>98752</v>
      </c>
      <c r="Y5" s="4">
        <v>112585</v>
      </c>
      <c r="Z5" s="5">
        <v>30983</v>
      </c>
      <c r="AB5" s="4">
        <v>246286</v>
      </c>
      <c r="AC5" s="5">
        <v>12581</v>
      </c>
      <c r="AE5" s="4">
        <v>18752</v>
      </c>
      <c r="AF5" s="5">
        <v>4950</v>
      </c>
      <c r="AH5" s="4">
        <v>31142</v>
      </c>
      <c r="AI5" s="5">
        <v>8174</v>
      </c>
    </row>
    <row r="6" spans="1:35" x14ac:dyDescent="0.25">
      <c r="A6" s="2">
        <v>17975</v>
      </c>
      <c r="B6" s="3">
        <v>7833</v>
      </c>
      <c r="D6" s="2">
        <v>347923</v>
      </c>
      <c r="E6" s="3">
        <v>319954</v>
      </c>
      <c r="G6" s="2">
        <v>109597</v>
      </c>
      <c r="H6" s="3">
        <v>106328</v>
      </c>
      <c r="J6" s="2">
        <v>227019</v>
      </c>
      <c r="K6" s="3">
        <v>210469</v>
      </c>
      <c r="M6" s="2">
        <v>3369</v>
      </c>
      <c r="N6" s="3">
        <v>2547</v>
      </c>
      <c r="P6" s="2">
        <v>15303</v>
      </c>
      <c r="Q6" s="3">
        <v>9311</v>
      </c>
      <c r="S6" s="2">
        <v>17975</v>
      </c>
      <c r="T6" s="3">
        <v>9857</v>
      </c>
      <c r="V6" s="2">
        <v>347923</v>
      </c>
      <c r="W6" s="3">
        <v>18782</v>
      </c>
      <c r="Y6" s="2">
        <v>109597</v>
      </c>
      <c r="Z6" s="3">
        <v>3104</v>
      </c>
      <c r="AB6" s="2">
        <v>227019</v>
      </c>
      <c r="AC6" s="3">
        <v>10920</v>
      </c>
      <c r="AE6" s="2">
        <v>3369</v>
      </c>
      <c r="AF6" s="3">
        <v>807</v>
      </c>
      <c r="AH6" s="2">
        <v>15303</v>
      </c>
      <c r="AI6" s="3">
        <v>5825</v>
      </c>
    </row>
    <row r="7" spans="1:35" x14ac:dyDescent="0.25">
      <c r="A7" s="4">
        <v>17110</v>
      </c>
      <c r="B7" s="5">
        <v>14539</v>
      </c>
      <c r="D7" s="4">
        <v>257101</v>
      </c>
      <c r="E7" s="5">
        <v>131161</v>
      </c>
      <c r="G7" s="4">
        <v>92482</v>
      </c>
      <c r="H7" s="5">
        <v>34838</v>
      </c>
      <c r="J7" s="4">
        <v>220352</v>
      </c>
      <c r="K7" s="5">
        <v>81212</v>
      </c>
      <c r="M7" s="4">
        <v>3297</v>
      </c>
      <c r="N7" s="5">
        <v>3111</v>
      </c>
      <c r="P7" s="4">
        <v>14203</v>
      </c>
      <c r="Q7" s="5">
        <v>13007</v>
      </c>
      <c r="S7" s="4">
        <v>17110</v>
      </c>
      <c r="T7" s="5">
        <v>2180</v>
      </c>
      <c r="V7" s="4">
        <v>257101</v>
      </c>
      <c r="W7" s="5">
        <v>117163</v>
      </c>
      <c r="Y7" s="4">
        <v>92482</v>
      </c>
      <c r="Z7" s="5">
        <v>52992</v>
      </c>
      <c r="AB7" s="4">
        <v>220352</v>
      </c>
      <c r="AC7" s="5">
        <v>108928</v>
      </c>
      <c r="AE7" s="4">
        <v>3297</v>
      </c>
      <c r="AF7" s="5">
        <v>128</v>
      </c>
      <c r="AH7" s="4">
        <v>14203</v>
      </c>
      <c r="AI7" s="5">
        <v>896</v>
      </c>
    </row>
    <row r="8" spans="1:35" x14ac:dyDescent="0.25">
      <c r="A8" s="2">
        <v>15655</v>
      </c>
      <c r="B8" s="3">
        <v>10361</v>
      </c>
      <c r="D8" s="2">
        <v>167416</v>
      </c>
      <c r="E8" s="3">
        <v>72575</v>
      </c>
      <c r="G8" s="2">
        <v>77058</v>
      </c>
      <c r="H8" s="3">
        <v>57028</v>
      </c>
      <c r="J8" s="2">
        <v>207112</v>
      </c>
      <c r="K8" s="3">
        <v>190314</v>
      </c>
      <c r="M8" s="2">
        <v>2805</v>
      </c>
      <c r="N8" s="3">
        <v>2121</v>
      </c>
      <c r="P8" s="2">
        <v>8904</v>
      </c>
      <c r="Q8" s="3">
        <v>8601</v>
      </c>
      <c r="S8" s="2">
        <v>15655</v>
      </c>
      <c r="T8" s="3">
        <v>5198</v>
      </c>
      <c r="V8" s="2">
        <v>167416</v>
      </c>
      <c r="W8" s="3">
        <v>91782</v>
      </c>
      <c r="Y8" s="2">
        <v>77058</v>
      </c>
      <c r="Z8" s="3">
        <v>19637</v>
      </c>
      <c r="AB8" s="2">
        <v>207112</v>
      </c>
      <c r="AC8" s="3">
        <v>7673</v>
      </c>
      <c r="AE8" s="2">
        <v>2805</v>
      </c>
      <c r="AF8" s="3">
        <v>673</v>
      </c>
      <c r="AH8" s="2">
        <v>8904</v>
      </c>
      <c r="AI8" s="3">
        <v>179</v>
      </c>
    </row>
    <row r="9" spans="1:35" x14ac:dyDescent="0.25">
      <c r="A9" s="4">
        <v>14547</v>
      </c>
      <c r="B9" s="5">
        <v>6386</v>
      </c>
      <c r="D9" s="4">
        <v>116458</v>
      </c>
      <c r="E9" s="5">
        <v>0</v>
      </c>
      <c r="G9" s="4">
        <v>64379</v>
      </c>
      <c r="H9" s="5">
        <v>55057</v>
      </c>
      <c r="J9" s="4">
        <v>84648</v>
      </c>
      <c r="K9" s="5">
        <v>54404</v>
      </c>
      <c r="M9" s="4">
        <v>350</v>
      </c>
      <c r="N9" s="5">
        <v>292</v>
      </c>
      <c r="P9" s="4">
        <v>1557</v>
      </c>
      <c r="Q9" s="5">
        <v>1514</v>
      </c>
      <c r="S9" s="4">
        <v>14547</v>
      </c>
      <c r="T9" s="5">
        <v>7933</v>
      </c>
      <c r="V9" s="4">
        <v>116458</v>
      </c>
      <c r="W9" s="5">
        <v>107514</v>
      </c>
      <c r="Y9" s="4">
        <v>64379</v>
      </c>
      <c r="Z9" s="5">
        <v>8884</v>
      </c>
      <c r="AB9" s="4">
        <v>84648</v>
      </c>
      <c r="AC9" s="5">
        <v>29659</v>
      </c>
      <c r="AE9" s="4">
        <v>350</v>
      </c>
      <c r="AF9" s="5">
        <v>52</v>
      </c>
      <c r="AH9" s="4">
        <v>1557</v>
      </c>
      <c r="AI9" s="5">
        <v>21</v>
      </c>
    </row>
    <row r="10" spans="1:35" x14ac:dyDescent="0.25">
      <c r="A10" s="2">
        <v>9764</v>
      </c>
      <c r="B10" s="3">
        <v>6477</v>
      </c>
      <c r="D10" s="2">
        <v>81161</v>
      </c>
      <c r="E10" s="3">
        <v>34896</v>
      </c>
      <c r="G10" s="2">
        <v>59177</v>
      </c>
      <c r="H10" s="3">
        <v>52510</v>
      </c>
      <c r="J10" s="2">
        <v>79395</v>
      </c>
      <c r="K10" s="3">
        <v>0</v>
      </c>
      <c r="M10" s="2">
        <v>99</v>
      </c>
      <c r="N10" s="3">
        <v>86</v>
      </c>
      <c r="P10" s="2">
        <v>462</v>
      </c>
      <c r="Q10" s="3">
        <v>440</v>
      </c>
      <c r="S10" s="2">
        <v>9764</v>
      </c>
      <c r="T10" s="3">
        <v>3093</v>
      </c>
      <c r="V10" s="2">
        <v>81161</v>
      </c>
      <c r="W10" s="3">
        <v>40733</v>
      </c>
      <c r="Y10" s="2">
        <v>59177</v>
      </c>
      <c r="Z10" s="3">
        <v>6322</v>
      </c>
      <c r="AB10" s="2">
        <v>79395</v>
      </c>
      <c r="AC10" s="3">
        <v>73695</v>
      </c>
      <c r="AE10" s="2">
        <v>99</v>
      </c>
      <c r="AF10" s="3">
        <v>13</v>
      </c>
      <c r="AH10" s="2">
        <v>462</v>
      </c>
      <c r="AI10" s="3">
        <v>15</v>
      </c>
    </row>
    <row r="11" spans="1:35" x14ac:dyDescent="0.25">
      <c r="A11" s="4">
        <v>9690</v>
      </c>
      <c r="B11" s="5">
        <v>6260</v>
      </c>
      <c r="D11" s="4">
        <v>71181</v>
      </c>
      <c r="E11" s="5">
        <v>21478</v>
      </c>
      <c r="G11" s="4">
        <v>39482</v>
      </c>
      <c r="H11" s="5">
        <v>36110</v>
      </c>
      <c r="J11" s="4">
        <v>67251</v>
      </c>
      <c r="K11" s="5">
        <v>60492</v>
      </c>
      <c r="M11" s="4">
        <v>24</v>
      </c>
      <c r="N11" s="5">
        <v>0</v>
      </c>
      <c r="P11" s="4">
        <v>431</v>
      </c>
      <c r="Q11" s="5">
        <v>365</v>
      </c>
      <c r="S11" s="4">
        <v>9690</v>
      </c>
      <c r="T11" s="5">
        <v>3339</v>
      </c>
      <c r="V11" s="4">
        <v>71181</v>
      </c>
      <c r="W11" s="5">
        <v>47056</v>
      </c>
      <c r="Y11" s="4">
        <v>39482</v>
      </c>
      <c r="Z11" s="5">
        <v>3231</v>
      </c>
      <c r="AB11" s="4">
        <v>67251</v>
      </c>
      <c r="AC11" s="5">
        <v>6221</v>
      </c>
      <c r="AE11" s="4">
        <v>24</v>
      </c>
      <c r="AF11" s="5">
        <v>24</v>
      </c>
      <c r="AH11" s="4">
        <v>431</v>
      </c>
      <c r="AI11" s="5">
        <v>66</v>
      </c>
    </row>
    <row r="12" spans="1:35" x14ac:dyDescent="0.25">
      <c r="A12" s="2">
        <v>8844</v>
      </c>
      <c r="B12" s="3">
        <v>5700</v>
      </c>
      <c r="D12" s="2">
        <v>64156</v>
      </c>
      <c r="E12" s="3">
        <v>30204</v>
      </c>
      <c r="G12" s="2">
        <v>36263</v>
      </c>
      <c r="H12" s="3">
        <v>25198</v>
      </c>
      <c r="J12" s="2">
        <v>67096</v>
      </c>
      <c r="K12" s="3">
        <v>37202</v>
      </c>
      <c r="P12" s="2">
        <v>289</v>
      </c>
      <c r="Q12" s="3">
        <v>222</v>
      </c>
      <c r="S12" s="2">
        <v>8844</v>
      </c>
      <c r="T12" s="3">
        <v>2936</v>
      </c>
      <c r="V12" s="2">
        <v>64156</v>
      </c>
      <c r="W12" s="3">
        <v>32869</v>
      </c>
      <c r="Y12" s="2">
        <v>36263</v>
      </c>
      <c r="Z12" s="3">
        <v>9796</v>
      </c>
      <c r="AB12" s="2">
        <v>67096</v>
      </c>
      <c r="AC12" s="3">
        <v>28258</v>
      </c>
      <c r="AH12" s="2">
        <v>289</v>
      </c>
      <c r="AI12" s="3">
        <v>67</v>
      </c>
    </row>
    <row r="13" spans="1:35" x14ac:dyDescent="0.25">
      <c r="A13" s="4">
        <v>7189</v>
      </c>
      <c r="B13" s="5">
        <v>4682</v>
      </c>
      <c r="D13" s="4">
        <v>61442</v>
      </c>
      <c r="E13" s="5">
        <v>35086</v>
      </c>
      <c r="G13" s="4">
        <v>20887</v>
      </c>
      <c r="H13" s="5">
        <v>16553</v>
      </c>
      <c r="J13" s="4">
        <v>66428</v>
      </c>
      <c r="K13" s="5">
        <v>17452</v>
      </c>
      <c r="P13" s="4">
        <v>226</v>
      </c>
      <c r="Q13" s="5">
        <v>147</v>
      </c>
      <c r="S13" s="4">
        <v>7189</v>
      </c>
      <c r="T13" s="5">
        <v>2458</v>
      </c>
      <c r="V13" s="4">
        <v>61442</v>
      </c>
      <c r="W13" s="5">
        <v>25034</v>
      </c>
      <c r="Y13" s="4">
        <v>20887</v>
      </c>
      <c r="Z13" s="5">
        <v>4018</v>
      </c>
      <c r="AB13" s="4">
        <v>66428</v>
      </c>
      <c r="AC13" s="5">
        <v>39154</v>
      </c>
      <c r="AH13" s="4">
        <v>226</v>
      </c>
      <c r="AI13" s="5">
        <v>79</v>
      </c>
    </row>
    <row r="14" spans="1:35" x14ac:dyDescent="0.25">
      <c r="A14" s="2">
        <v>7055</v>
      </c>
      <c r="B14" s="3">
        <v>6257</v>
      </c>
      <c r="D14" s="2">
        <v>45309</v>
      </c>
      <c r="E14" s="3">
        <v>32455</v>
      </c>
      <c r="G14" s="2">
        <v>11424</v>
      </c>
      <c r="H14" s="3">
        <v>5939</v>
      </c>
      <c r="J14" s="2">
        <v>63985</v>
      </c>
      <c r="K14" s="3">
        <v>27133</v>
      </c>
      <c r="P14" s="2">
        <v>141</v>
      </c>
      <c r="Q14" s="3">
        <v>138</v>
      </c>
      <c r="S14" s="2">
        <v>7055</v>
      </c>
      <c r="T14" s="3">
        <v>753</v>
      </c>
      <c r="V14" s="2">
        <v>45309</v>
      </c>
      <c r="W14" s="3">
        <v>11093</v>
      </c>
      <c r="Y14" s="2">
        <v>11424</v>
      </c>
      <c r="Z14" s="3">
        <v>4765</v>
      </c>
      <c r="AB14" s="2">
        <v>63985</v>
      </c>
      <c r="AC14" s="3">
        <v>36378</v>
      </c>
      <c r="AH14" s="2">
        <v>141</v>
      </c>
      <c r="AI14" s="3">
        <v>0</v>
      </c>
    </row>
    <row r="15" spans="1:35" x14ac:dyDescent="0.25">
      <c r="A15" s="4">
        <v>6208</v>
      </c>
      <c r="B15" s="5">
        <v>4653</v>
      </c>
      <c r="D15" s="4">
        <v>39741</v>
      </c>
      <c r="E15" s="5">
        <v>5039</v>
      </c>
      <c r="G15" s="4">
        <v>10621</v>
      </c>
      <c r="H15" s="5">
        <v>3752</v>
      </c>
      <c r="J15" s="4">
        <v>53413</v>
      </c>
      <c r="K15" s="5">
        <v>189</v>
      </c>
      <c r="P15" s="4">
        <v>62</v>
      </c>
      <c r="Q15" s="5">
        <v>11</v>
      </c>
      <c r="S15" s="4">
        <v>6208</v>
      </c>
      <c r="T15" s="5">
        <v>1399</v>
      </c>
      <c r="V15" s="4">
        <v>39741</v>
      </c>
      <c r="W15" s="5">
        <v>33536</v>
      </c>
      <c r="Y15" s="4">
        <v>10621</v>
      </c>
      <c r="Z15" s="5">
        <v>6791</v>
      </c>
      <c r="AB15" s="4">
        <v>53413</v>
      </c>
      <c r="AC15" s="5">
        <v>47064</v>
      </c>
      <c r="AH15" s="4">
        <v>62</v>
      </c>
      <c r="AI15" s="5">
        <v>51</v>
      </c>
    </row>
    <row r="16" spans="1:35" x14ac:dyDescent="0.25">
      <c r="A16" s="2">
        <v>4599</v>
      </c>
      <c r="B16" s="3">
        <v>1546</v>
      </c>
      <c r="D16" s="2">
        <v>15988</v>
      </c>
      <c r="E16" s="3">
        <v>9959</v>
      </c>
      <c r="G16" s="2">
        <v>5059</v>
      </c>
      <c r="H16" s="3">
        <v>4977</v>
      </c>
      <c r="J16" s="2">
        <v>50299</v>
      </c>
      <c r="K16" s="3">
        <v>35375</v>
      </c>
      <c r="P16" s="2">
        <v>27</v>
      </c>
      <c r="Q16" s="3">
        <v>18</v>
      </c>
      <c r="S16" s="2">
        <v>4599</v>
      </c>
      <c r="T16" s="3">
        <v>2994</v>
      </c>
      <c r="V16" s="2">
        <v>15988</v>
      </c>
      <c r="W16" s="3">
        <v>5883</v>
      </c>
      <c r="Y16" s="2">
        <v>5059</v>
      </c>
      <c r="Z16" s="3">
        <v>24</v>
      </c>
      <c r="AB16" s="2">
        <v>50299</v>
      </c>
      <c r="AC16" s="3">
        <v>13205</v>
      </c>
      <c r="AH16" s="2">
        <v>27</v>
      </c>
      <c r="AI16" s="3">
        <v>9</v>
      </c>
    </row>
    <row r="17" spans="1:35" x14ac:dyDescent="0.25">
      <c r="A17" s="4">
        <v>4552</v>
      </c>
      <c r="B17" s="5">
        <v>2815</v>
      </c>
      <c r="D17" s="4">
        <v>15841</v>
      </c>
      <c r="E17" s="5">
        <v>3824</v>
      </c>
      <c r="G17" s="4">
        <v>3882</v>
      </c>
      <c r="H17" s="5">
        <v>1709</v>
      </c>
      <c r="J17" s="4">
        <v>45902</v>
      </c>
      <c r="K17" s="5">
        <v>25794</v>
      </c>
      <c r="P17" s="4">
        <v>20</v>
      </c>
      <c r="Q17" s="5">
        <v>19</v>
      </c>
      <c r="S17" s="4">
        <v>4552</v>
      </c>
      <c r="T17" s="5">
        <v>1597</v>
      </c>
      <c r="V17" s="4">
        <v>15841</v>
      </c>
      <c r="W17" s="5">
        <v>11902</v>
      </c>
      <c r="Y17" s="4">
        <v>3882</v>
      </c>
      <c r="Z17" s="5">
        <v>2122</v>
      </c>
      <c r="AB17" s="4">
        <v>45902</v>
      </c>
      <c r="AC17" s="5">
        <v>17902</v>
      </c>
      <c r="AH17" s="4">
        <v>20</v>
      </c>
      <c r="AI17" s="5">
        <v>1</v>
      </c>
    </row>
    <row r="18" spans="1:35" x14ac:dyDescent="0.25">
      <c r="A18" s="2">
        <v>3664</v>
      </c>
      <c r="B18" s="3">
        <v>1645</v>
      </c>
      <c r="D18" s="2">
        <v>15035</v>
      </c>
      <c r="E18" s="3">
        <v>7778</v>
      </c>
      <c r="G18" s="2">
        <v>3196</v>
      </c>
      <c r="H18" s="3">
        <v>1543</v>
      </c>
      <c r="J18" s="2">
        <v>43402</v>
      </c>
      <c r="K18" s="3">
        <v>32856</v>
      </c>
      <c r="S18" s="2">
        <v>3664</v>
      </c>
      <c r="T18" s="3">
        <v>1920</v>
      </c>
      <c r="V18" s="2">
        <v>15035</v>
      </c>
      <c r="W18" s="3">
        <v>6849</v>
      </c>
      <c r="Y18" s="2">
        <v>3196</v>
      </c>
      <c r="Z18" s="3">
        <v>1560</v>
      </c>
      <c r="AB18" s="2">
        <v>43402</v>
      </c>
      <c r="AC18" s="3">
        <v>8870</v>
      </c>
    </row>
    <row r="19" spans="1:35" x14ac:dyDescent="0.25">
      <c r="A19" s="4">
        <v>3200</v>
      </c>
      <c r="B19" s="5">
        <v>829</v>
      </c>
      <c r="D19" s="4">
        <v>7340</v>
      </c>
      <c r="E19" s="5">
        <v>4365</v>
      </c>
      <c r="G19" s="4">
        <v>2827</v>
      </c>
      <c r="H19" s="5">
        <v>577</v>
      </c>
      <c r="J19" s="4">
        <v>37390</v>
      </c>
      <c r="K19" s="5">
        <v>26665</v>
      </c>
      <c r="S19" s="4">
        <v>3200</v>
      </c>
      <c r="T19" s="5">
        <v>2317</v>
      </c>
      <c r="V19" s="4">
        <v>7340</v>
      </c>
      <c r="W19" s="5">
        <v>2817</v>
      </c>
      <c r="Y19" s="4">
        <v>2827</v>
      </c>
      <c r="Z19" s="5">
        <v>2186</v>
      </c>
      <c r="AB19" s="4">
        <v>37390</v>
      </c>
      <c r="AC19" s="5">
        <v>10014</v>
      </c>
    </row>
    <row r="20" spans="1:35" x14ac:dyDescent="0.25">
      <c r="A20" s="2">
        <v>3071</v>
      </c>
      <c r="B20" s="3">
        <v>842</v>
      </c>
      <c r="D20" s="2">
        <v>4548</v>
      </c>
      <c r="E20" s="3">
        <v>2905</v>
      </c>
      <c r="G20" s="2">
        <v>1691</v>
      </c>
      <c r="H20" s="3">
        <v>833</v>
      </c>
      <c r="J20" s="2">
        <v>34477</v>
      </c>
      <c r="K20" s="3">
        <v>30900</v>
      </c>
      <c r="S20" s="2">
        <v>3071</v>
      </c>
      <c r="T20" s="3">
        <v>2178</v>
      </c>
      <c r="V20" s="2">
        <v>4548</v>
      </c>
      <c r="W20" s="3">
        <v>1600</v>
      </c>
      <c r="Y20" s="2">
        <v>1691</v>
      </c>
      <c r="Z20" s="3">
        <v>375</v>
      </c>
      <c r="AB20" s="2">
        <v>34477</v>
      </c>
      <c r="AC20" s="3">
        <v>1599</v>
      </c>
    </row>
    <row r="21" spans="1:35" x14ac:dyDescent="0.25">
      <c r="A21" s="4">
        <v>2704</v>
      </c>
      <c r="B21" s="5">
        <v>542</v>
      </c>
      <c r="D21" s="4">
        <v>3439</v>
      </c>
      <c r="E21" s="5">
        <v>2492</v>
      </c>
      <c r="G21" s="4">
        <v>1455</v>
      </c>
      <c r="H21" s="5">
        <v>1157</v>
      </c>
      <c r="J21" s="4">
        <v>33296</v>
      </c>
      <c r="K21" s="5">
        <v>21205</v>
      </c>
      <c r="S21" s="4">
        <v>2704</v>
      </c>
      <c r="T21" s="5">
        <v>2126</v>
      </c>
      <c r="V21" s="4">
        <v>3439</v>
      </c>
      <c r="W21" s="5">
        <v>839</v>
      </c>
      <c r="Y21" s="4">
        <v>1455</v>
      </c>
      <c r="Z21" s="5">
        <v>248</v>
      </c>
      <c r="AB21" s="4">
        <v>33296</v>
      </c>
      <c r="AC21" s="5">
        <v>10790</v>
      </c>
    </row>
    <row r="22" spans="1:35" x14ac:dyDescent="0.25">
      <c r="A22" s="2">
        <v>2513</v>
      </c>
      <c r="B22" s="3">
        <v>1913</v>
      </c>
      <c r="D22" s="2">
        <v>2532</v>
      </c>
      <c r="E22" s="3">
        <v>2351</v>
      </c>
      <c r="G22" s="2">
        <v>1176</v>
      </c>
      <c r="H22" s="3">
        <v>1041</v>
      </c>
      <c r="J22" s="2">
        <v>30446</v>
      </c>
      <c r="K22" s="3">
        <v>23242</v>
      </c>
      <c r="S22" s="2">
        <v>2513</v>
      </c>
      <c r="T22" s="3">
        <v>476</v>
      </c>
      <c r="V22" s="2">
        <v>2532</v>
      </c>
      <c r="W22" s="3">
        <v>94</v>
      </c>
      <c r="Y22" s="2">
        <v>1176</v>
      </c>
      <c r="Z22" s="3">
        <v>124</v>
      </c>
      <c r="AB22" s="2">
        <v>30446</v>
      </c>
      <c r="AC22" s="3">
        <v>6781</v>
      </c>
    </row>
    <row r="23" spans="1:35" x14ac:dyDescent="0.25">
      <c r="A23" s="4">
        <v>2328</v>
      </c>
      <c r="B23" s="5">
        <v>1550</v>
      </c>
      <c r="D23" s="4">
        <v>1483</v>
      </c>
      <c r="E23" s="5">
        <v>925</v>
      </c>
      <c r="G23" s="4">
        <v>674</v>
      </c>
      <c r="H23" s="5">
        <v>0</v>
      </c>
      <c r="J23" s="4">
        <v>25892</v>
      </c>
      <c r="K23" s="5">
        <v>23364</v>
      </c>
      <c r="S23" s="4">
        <v>2328</v>
      </c>
      <c r="T23" s="5">
        <v>756</v>
      </c>
      <c r="V23" s="4">
        <v>1483</v>
      </c>
      <c r="W23" s="5">
        <v>534</v>
      </c>
      <c r="Y23" s="4">
        <v>674</v>
      </c>
      <c r="Z23" s="5">
        <v>634</v>
      </c>
      <c r="AB23" s="4">
        <v>25892</v>
      </c>
      <c r="AC23" s="5">
        <v>764</v>
      </c>
    </row>
    <row r="24" spans="1:35" x14ac:dyDescent="0.25">
      <c r="A24" s="2">
        <v>2316</v>
      </c>
      <c r="B24" s="3">
        <v>1025</v>
      </c>
      <c r="D24" s="2">
        <v>1202</v>
      </c>
      <c r="E24" s="3">
        <v>951</v>
      </c>
      <c r="J24" s="2">
        <v>24141</v>
      </c>
      <c r="K24" s="3">
        <v>0</v>
      </c>
      <c r="S24" s="2">
        <v>2316</v>
      </c>
      <c r="T24" s="3">
        <v>1257</v>
      </c>
      <c r="V24" s="2">
        <v>1202</v>
      </c>
      <c r="W24" s="3">
        <v>216</v>
      </c>
      <c r="AB24" s="2">
        <v>24141</v>
      </c>
      <c r="AC24" s="3">
        <v>23598</v>
      </c>
    </row>
    <row r="25" spans="1:35" x14ac:dyDescent="0.25">
      <c r="A25" s="4">
        <v>2305</v>
      </c>
      <c r="B25" s="5">
        <v>1175</v>
      </c>
      <c r="D25" s="4">
        <v>853</v>
      </c>
      <c r="E25" s="5">
        <v>714</v>
      </c>
      <c r="J25" s="4">
        <v>23154</v>
      </c>
      <c r="K25" s="5">
        <v>16154</v>
      </c>
      <c r="S25" s="4">
        <v>2305</v>
      </c>
      <c r="T25" s="5">
        <v>1084</v>
      </c>
      <c r="V25" s="4">
        <v>853</v>
      </c>
      <c r="W25" s="5">
        <v>129</v>
      </c>
      <c r="AB25" s="4">
        <v>23154</v>
      </c>
      <c r="AC25" s="5">
        <v>6252</v>
      </c>
    </row>
    <row r="26" spans="1:35" x14ac:dyDescent="0.25">
      <c r="A26" s="2">
        <v>1954</v>
      </c>
      <c r="B26" s="3">
        <v>803</v>
      </c>
      <c r="D26" s="2">
        <v>389</v>
      </c>
      <c r="E26" s="3">
        <v>181</v>
      </c>
      <c r="J26" s="2">
        <v>21209</v>
      </c>
      <c r="K26" s="3">
        <v>11674</v>
      </c>
      <c r="S26" s="2">
        <v>1954</v>
      </c>
      <c r="T26" s="3">
        <v>1125</v>
      </c>
      <c r="V26" s="2">
        <v>389</v>
      </c>
      <c r="W26" s="3">
        <v>188</v>
      </c>
      <c r="AB26" s="2">
        <v>21209</v>
      </c>
      <c r="AC26" s="3">
        <v>9414</v>
      </c>
    </row>
    <row r="27" spans="1:35" x14ac:dyDescent="0.25">
      <c r="A27" s="4">
        <v>1879</v>
      </c>
      <c r="B27" s="5">
        <v>975</v>
      </c>
      <c r="D27" s="4">
        <v>382</v>
      </c>
      <c r="E27" s="5">
        <v>91</v>
      </c>
      <c r="J27" s="4">
        <v>20558</v>
      </c>
      <c r="K27" s="5">
        <v>18246</v>
      </c>
      <c r="S27" s="4">
        <v>1879</v>
      </c>
      <c r="T27" s="5">
        <v>899</v>
      </c>
      <c r="V27" s="4">
        <v>382</v>
      </c>
      <c r="W27" s="5">
        <v>280</v>
      </c>
      <c r="AB27" s="4">
        <v>20558</v>
      </c>
      <c r="AC27" s="5">
        <v>1599</v>
      </c>
    </row>
    <row r="28" spans="1:35" x14ac:dyDescent="0.25">
      <c r="A28" s="2">
        <v>1843</v>
      </c>
      <c r="B28" s="3">
        <v>101</v>
      </c>
      <c r="D28" s="2">
        <v>148</v>
      </c>
      <c r="E28" s="3">
        <v>128</v>
      </c>
      <c r="J28" s="2">
        <v>15516</v>
      </c>
      <c r="K28" s="3">
        <v>11428</v>
      </c>
      <c r="S28" s="2">
        <v>1843</v>
      </c>
      <c r="T28" s="3">
        <v>1734</v>
      </c>
      <c r="V28" s="2">
        <v>148</v>
      </c>
      <c r="W28" s="3">
        <v>12</v>
      </c>
      <c r="AB28" s="2">
        <v>15516</v>
      </c>
      <c r="AC28" s="3">
        <v>3715</v>
      </c>
    </row>
    <row r="29" spans="1:35" x14ac:dyDescent="0.25">
      <c r="A29" s="4">
        <v>1783</v>
      </c>
      <c r="B29" s="5">
        <v>1317</v>
      </c>
      <c r="D29" s="4">
        <v>110</v>
      </c>
      <c r="E29" s="5">
        <v>94</v>
      </c>
      <c r="J29" s="4">
        <v>13761</v>
      </c>
      <c r="K29" s="5">
        <v>12605</v>
      </c>
      <c r="S29" s="4">
        <v>1783</v>
      </c>
      <c r="T29" s="5">
        <v>400</v>
      </c>
      <c r="V29" s="4">
        <v>110</v>
      </c>
      <c r="W29" s="5">
        <v>9</v>
      </c>
      <c r="AB29" s="4">
        <v>13761</v>
      </c>
      <c r="AC29" s="5">
        <v>543</v>
      </c>
    </row>
    <row r="30" spans="1:35" x14ac:dyDescent="0.25">
      <c r="A30" s="2">
        <v>1770</v>
      </c>
      <c r="B30" s="3">
        <v>1036</v>
      </c>
      <c r="D30" s="2">
        <v>86</v>
      </c>
      <c r="E30" s="3">
        <v>65</v>
      </c>
      <c r="J30" s="2">
        <v>10621</v>
      </c>
      <c r="K30" s="3">
        <v>5585</v>
      </c>
      <c r="S30" s="2">
        <v>1770</v>
      </c>
      <c r="T30" s="3">
        <v>699</v>
      </c>
      <c r="V30" s="2">
        <v>86</v>
      </c>
      <c r="W30" s="3">
        <v>18</v>
      </c>
      <c r="AB30" s="2">
        <v>10621</v>
      </c>
      <c r="AC30" s="3">
        <v>4689</v>
      </c>
    </row>
    <row r="31" spans="1:35" x14ac:dyDescent="0.25">
      <c r="A31" s="4">
        <v>1701</v>
      </c>
      <c r="B31" s="5">
        <v>0</v>
      </c>
      <c r="D31" s="4">
        <v>52</v>
      </c>
      <c r="E31" s="5">
        <v>39</v>
      </c>
      <c r="J31" s="4">
        <v>10498</v>
      </c>
      <c r="K31" s="5">
        <v>4930</v>
      </c>
      <c r="S31" s="4">
        <v>1701</v>
      </c>
      <c r="T31" s="5">
        <v>1690</v>
      </c>
      <c r="V31" s="4">
        <v>52</v>
      </c>
      <c r="W31" s="5">
        <v>13</v>
      </c>
      <c r="AB31" s="4">
        <v>10498</v>
      </c>
      <c r="AC31" s="5">
        <v>5274</v>
      </c>
    </row>
    <row r="32" spans="1:35" x14ac:dyDescent="0.25">
      <c r="A32" s="2">
        <v>1167</v>
      </c>
      <c r="B32" s="3">
        <v>646</v>
      </c>
      <c r="D32" s="2">
        <v>48</v>
      </c>
      <c r="E32" s="3">
        <v>26</v>
      </c>
      <c r="J32" s="2">
        <v>10213</v>
      </c>
      <c r="K32" s="3">
        <v>5564</v>
      </c>
      <c r="S32" s="2">
        <v>1167</v>
      </c>
      <c r="T32" s="3">
        <v>449</v>
      </c>
      <c r="V32" s="2">
        <v>48</v>
      </c>
      <c r="W32" s="3">
        <v>20</v>
      </c>
      <c r="AB32" s="2">
        <v>10213</v>
      </c>
      <c r="AC32" s="3">
        <v>4183</v>
      </c>
    </row>
    <row r="33" spans="1:29" x14ac:dyDescent="0.25">
      <c r="A33" s="4">
        <v>1132</v>
      </c>
      <c r="B33" s="5">
        <v>1027</v>
      </c>
      <c r="D33" s="4">
        <v>24</v>
      </c>
      <c r="E33" s="5">
        <v>22</v>
      </c>
      <c r="J33" s="4">
        <v>9132</v>
      </c>
      <c r="K33" s="5">
        <v>8752</v>
      </c>
      <c r="S33" s="4">
        <v>1132</v>
      </c>
      <c r="T33" s="5">
        <v>36</v>
      </c>
      <c r="V33" s="4">
        <v>24</v>
      </c>
      <c r="W33" s="5">
        <v>2</v>
      </c>
      <c r="AB33" s="4">
        <v>9132</v>
      </c>
      <c r="AC33" s="5">
        <v>125</v>
      </c>
    </row>
    <row r="34" spans="1:29" x14ac:dyDescent="0.25">
      <c r="A34" s="2">
        <v>1128</v>
      </c>
      <c r="B34" s="3">
        <v>986</v>
      </c>
      <c r="D34" s="2">
        <v>23</v>
      </c>
      <c r="E34" s="3">
        <v>23</v>
      </c>
      <c r="J34" s="2">
        <v>7413</v>
      </c>
      <c r="K34" s="3">
        <v>4027</v>
      </c>
      <c r="S34" s="2">
        <v>1128</v>
      </c>
      <c r="T34" s="3">
        <v>140</v>
      </c>
      <c r="V34" s="2">
        <v>23</v>
      </c>
      <c r="W34" s="3">
        <v>0</v>
      </c>
      <c r="AB34" s="2">
        <v>7413</v>
      </c>
      <c r="AC34" s="3">
        <v>3201</v>
      </c>
    </row>
    <row r="35" spans="1:29" x14ac:dyDescent="0.25">
      <c r="A35" s="4">
        <v>1100</v>
      </c>
      <c r="B35" s="5">
        <v>926</v>
      </c>
      <c r="D35" s="4">
        <v>18</v>
      </c>
      <c r="E35" s="5">
        <v>18</v>
      </c>
      <c r="J35" s="4">
        <v>7398</v>
      </c>
      <c r="K35" s="5">
        <v>6920</v>
      </c>
      <c r="S35" s="4">
        <v>1100</v>
      </c>
      <c r="T35" s="5">
        <v>121</v>
      </c>
      <c r="V35" s="4">
        <v>18</v>
      </c>
      <c r="W35" s="5">
        <v>0</v>
      </c>
      <c r="AB35" s="4">
        <v>7398</v>
      </c>
      <c r="AC35" s="5">
        <v>149</v>
      </c>
    </row>
    <row r="36" spans="1:29" x14ac:dyDescent="0.25">
      <c r="A36" s="2">
        <v>950</v>
      </c>
      <c r="B36" s="3">
        <v>242</v>
      </c>
      <c r="D36" s="2">
        <v>17</v>
      </c>
      <c r="E36" s="3">
        <v>15</v>
      </c>
      <c r="J36" s="2">
        <v>7235</v>
      </c>
      <c r="K36" s="3">
        <v>6028</v>
      </c>
      <c r="S36" s="2">
        <v>950</v>
      </c>
      <c r="T36" s="3">
        <v>667</v>
      </c>
      <c r="V36" s="2">
        <v>17</v>
      </c>
      <c r="W36" s="3">
        <v>2</v>
      </c>
      <c r="AB36" s="2">
        <v>7235</v>
      </c>
      <c r="AC36" s="3">
        <v>1147</v>
      </c>
    </row>
    <row r="37" spans="1:29" x14ac:dyDescent="0.25">
      <c r="A37" s="4">
        <v>922</v>
      </c>
      <c r="B37" s="5">
        <v>810</v>
      </c>
      <c r="J37" s="4">
        <v>6321</v>
      </c>
      <c r="K37" s="5">
        <v>4825</v>
      </c>
      <c r="S37" s="4">
        <v>922</v>
      </c>
      <c r="T37" s="5">
        <v>37</v>
      </c>
      <c r="AB37" s="4">
        <v>6321</v>
      </c>
      <c r="AC37" s="5">
        <v>1384</v>
      </c>
    </row>
    <row r="38" spans="1:29" x14ac:dyDescent="0.25">
      <c r="A38" s="2">
        <v>874</v>
      </c>
      <c r="B38" s="3">
        <v>607</v>
      </c>
      <c r="J38" s="2">
        <v>4881</v>
      </c>
      <c r="K38" s="3">
        <v>3936</v>
      </c>
      <c r="S38" s="2">
        <v>874</v>
      </c>
      <c r="T38" s="3">
        <v>249</v>
      </c>
      <c r="AB38" s="2">
        <v>4881</v>
      </c>
      <c r="AC38" s="3">
        <v>806</v>
      </c>
    </row>
    <row r="39" spans="1:29" x14ac:dyDescent="0.25">
      <c r="A39" s="4">
        <v>865</v>
      </c>
      <c r="B39" s="5">
        <v>734</v>
      </c>
      <c r="J39" s="4">
        <v>4880</v>
      </c>
      <c r="K39" s="5">
        <v>2745</v>
      </c>
      <c r="S39" s="4">
        <v>865</v>
      </c>
      <c r="T39" s="5">
        <v>117</v>
      </c>
      <c r="AB39" s="4">
        <v>4880</v>
      </c>
      <c r="AC39" s="5">
        <v>1991</v>
      </c>
    </row>
    <row r="40" spans="1:29" x14ac:dyDescent="0.25">
      <c r="A40" s="2">
        <v>739</v>
      </c>
      <c r="B40" s="3">
        <v>63</v>
      </c>
      <c r="J40" s="2">
        <v>4448</v>
      </c>
      <c r="K40" s="3">
        <v>3329</v>
      </c>
      <c r="S40" s="2">
        <v>739</v>
      </c>
      <c r="T40" s="3">
        <v>674</v>
      </c>
      <c r="AB40" s="2">
        <v>4448</v>
      </c>
      <c r="AC40" s="3">
        <v>523</v>
      </c>
    </row>
    <row r="41" spans="1:29" x14ac:dyDescent="0.25">
      <c r="A41" s="4">
        <v>509</v>
      </c>
      <c r="B41" s="5">
        <v>183</v>
      </c>
      <c r="J41" s="4">
        <v>4227</v>
      </c>
      <c r="K41" s="5">
        <v>1374</v>
      </c>
      <c r="S41" s="4">
        <v>509</v>
      </c>
      <c r="T41" s="5">
        <v>305</v>
      </c>
      <c r="AB41" s="4">
        <v>4227</v>
      </c>
      <c r="AC41" s="5">
        <v>2651</v>
      </c>
    </row>
    <row r="42" spans="1:29" x14ac:dyDescent="0.25">
      <c r="A42" s="2">
        <v>505</v>
      </c>
      <c r="B42" s="3">
        <v>128</v>
      </c>
      <c r="J42" s="2">
        <v>2893</v>
      </c>
      <c r="K42" s="3">
        <v>809</v>
      </c>
      <c r="S42" s="2">
        <v>505</v>
      </c>
      <c r="T42" s="3">
        <v>365</v>
      </c>
      <c r="AB42" s="2">
        <v>2893</v>
      </c>
      <c r="AC42" s="3">
        <v>2039</v>
      </c>
    </row>
    <row r="43" spans="1:29" x14ac:dyDescent="0.25">
      <c r="A43" s="4">
        <v>378</v>
      </c>
      <c r="B43" s="5">
        <v>301</v>
      </c>
      <c r="J43" s="4">
        <v>2181</v>
      </c>
      <c r="K43" s="5">
        <v>1616</v>
      </c>
      <c r="S43" s="4">
        <v>378</v>
      </c>
      <c r="T43" s="5">
        <v>76</v>
      </c>
      <c r="AB43" s="4">
        <v>2181</v>
      </c>
      <c r="AC43" s="5">
        <v>537</v>
      </c>
    </row>
    <row r="44" spans="1:29" x14ac:dyDescent="0.25">
      <c r="A44" s="2">
        <v>354</v>
      </c>
      <c r="B44" s="3">
        <v>328</v>
      </c>
      <c r="J44" s="2">
        <v>2087</v>
      </c>
      <c r="K44" s="3">
        <v>1733</v>
      </c>
      <c r="S44" s="2">
        <v>354</v>
      </c>
      <c r="T44" s="3">
        <v>19</v>
      </c>
      <c r="AB44" s="2">
        <v>2087</v>
      </c>
      <c r="AC44" s="3">
        <v>238</v>
      </c>
    </row>
    <row r="45" spans="1:29" x14ac:dyDescent="0.25">
      <c r="A45" s="4">
        <v>344</v>
      </c>
      <c r="B45" s="5">
        <v>332</v>
      </c>
      <c r="J45" s="4">
        <v>2034</v>
      </c>
      <c r="K45" s="5">
        <v>1923</v>
      </c>
      <c r="S45" s="4">
        <v>344</v>
      </c>
      <c r="T45" s="5">
        <v>2</v>
      </c>
      <c r="AB45" s="4">
        <v>2034</v>
      </c>
      <c r="AC45" s="5">
        <v>42</v>
      </c>
    </row>
    <row r="46" spans="1:29" x14ac:dyDescent="0.25">
      <c r="A46" s="2">
        <v>326</v>
      </c>
      <c r="B46" s="3">
        <v>66</v>
      </c>
      <c r="J46" s="2">
        <v>2019</v>
      </c>
      <c r="K46" s="3">
        <v>1620</v>
      </c>
      <c r="S46" s="2">
        <v>326</v>
      </c>
      <c r="T46" s="3">
        <v>252</v>
      </c>
      <c r="AB46" s="2">
        <v>2019</v>
      </c>
      <c r="AC46" s="3">
        <v>319</v>
      </c>
    </row>
    <row r="47" spans="1:29" x14ac:dyDescent="0.25">
      <c r="A47" s="4">
        <v>265</v>
      </c>
      <c r="B47" s="5">
        <v>191</v>
      </c>
      <c r="J47" s="4">
        <v>1854</v>
      </c>
      <c r="K47" s="5">
        <v>1823</v>
      </c>
      <c r="S47" s="4">
        <v>265</v>
      </c>
      <c r="T47" s="5">
        <v>74</v>
      </c>
      <c r="AB47" s="4">
        <v>1854</v>
      </c>
      <c r="AC47" s="5">
        <v>21</v>
      </c>
    </row>
    <row r="48" spans="1:29" x14ac:dyDescent="0.25">
      <c r="A48" s="2">
        <v>114</v>
      </c>
      <c r="B48" s="3">
        <v>39</v>
      </c>
      <c r="J48" s="2">
        <v>1219</v>
      </c>
      <c r="K48" s="3">
        <v>1045</v>
      </c>
      <c r="S48" s="2">
        <v>114</v>
      </c>
      <c r="T48" s="3">
        <v>75</v>
      </c>
      <c r="AB48" s="2">
        <v>1219</v>
      </c>
      <c r="AC48" s="3">
        <v>143</v>
      </c>
    </row>
    <row r="49" spans="1:29" x14ac:dyDescent="0.25">
      <c r="A49" s="4">
        <v>10</v>
      </c>
      <c r="B49" s="5">
        <v>8</v>
      </c>
      <c r="J49" s="4">
        <v>1137</v>
      </c>
      <c r="K49" s="5">
        <v>922</v>
      </c>
      <c r="S49" s="4">
        <v>10</v>
      </c>
      <c r="T49" s="5">
        <v>1</v>
      </c>
      <c r="AB49" s="4">
        <v>1137</v>
      </c>
      <c r="AC49" s="5">
        <v>199</v>
      </c>
    </row>
    <row r="50" spans="1:29" x14ac:dyDescent="0.25">
      <c r="J50" s="2">
        <v>1060</v>
      </c>
      <c r="K50" s="3">
        <v>852</v>
      </c>
      <c r="AB50" s="2">
        <v>1060</v>
      </c>
      <c r="AC50" s="3">
        <v>189</v>
      </c>
    </row>
    <row r="51" spans="1:29" x14ac:dyDescent="0.25">
      <c r="J51" s="4">
        <v>907</v>
      </c>
      <c r="K51" s="5">
        <v>803</v>
      </c>
      <c r="AB51" s="4">
        <v>907</v>
      </c>
      <c r="AC51" s="5">
        <v>52</v>
      </c>
    </row>
    <row r="52" spans="1:29" x14ac:dyDescent="0.25">
      <c r="J52" s="2">
        <v>701</v>
      </c>
      <c r="K52" s="3">
        <v>665</v>
      </c>
      <c r="AB52" s="2">
        <v>701</v>
      </c>
      <c r="AC52" s="3">
        <v>27</v>
      </c>
    </row>
    <row r="53" spans="1:29" x14ac:dyDescent="0.25">
      <c r="J53" s="4">
        <v>699</v>
      </c>
      <c r="K53" s="5">
        <v>657</v>
      </c>
      <c r="AB53" s="4">
        <v>699</v>
      </c>
      <c r="AC53" s="5">
        <v>0</v>
      </c>
    </row>
    <row r="54" spans="1:29" x14ac:dyDescent="0.25">
      <c r="J54" s="2">
        <v>116</v>
      </c>
      <c r="K54" s="3">
        <v>104</v>
      </c>
      <c r="AB54" s="2">
        <v>116</v>
      </c>
      <c r="AC54" s="3">
        <v>8</v>
      </c>
    </row>
    <row r="55" spans="1:29" x14ac:dyDescent="0.25">
      <c r="J55" s="4">
        <v>86</v>
      </c>
      <c r="K55" s="5">
        <v>81</v>
      </c>
      <c r="AB55" s="4">
        <v>86</v>
      </c>
      <c r="AC55" s="5">
        <v>4</v>
      </c>
    </row>
    <row r="56" spans="1:29" x14ac:dyDescent="0.25">
      <c r="J56" s="2">
        <v>14</v>
      </c>
      <c r="K56" s="3">
        <v>13</v>
      </c>
      <c r="AB56" s="2">
        <v>14</v>
      </c>
      <c r="AC56" s="3">
        <v>1</v>
      </c>
    </row>
    <row r="57" spans="1:29" x14ac:dyDescent="0.25">
      <c r="J57" s="4">
        <v>12</v>
      </c>
      <c r="K57" s="5">
        <v>12</v>
      </c>
      <c r="AB57" s="4">
        <v>12</v>
      </c>
      <c r="AC57" s="5">
        <v>0</v>
      </c>
    </row>
  </sheetData>
  <conditionalFormatting sqref="A2:A49">
    <cfRule type="colorScale" priority="12">
      <colorScale>
        <cfvo type="min"/>
        <cfvo type="max"/>
        <color rgb="FFFF8BAC"/>
        <color rgb="FFF74779"/>
      </colorScale>
    </cfRule>
  </conditionalFormatting>
  <conditionalFormatting sqref="D2:D36">
    <cfRule type="colorScale" priority="11">
      <colorScale>
        <cfvo type="min"/>
        <cfvo type="max"/>
        <color rgb="FFFF8BAC"/>
        <color rgb="FFF74779"/>
      </colorScale>
    </cfRule>
  </conditionalFormatting>
  <conditionalFormatting sqref="G2:G23">
    <cfRule type="colorScale" priority="10">
      <colorScale>
        <cfvo type="min"/>
        <cfvo type="max"/>
        <color rgb="FFFF8BAC"/>
        <color rgb="FFF74779"/>
      </colorScale>
    </cfRule>
  </conditionalFormatting>
  <conditionalFormatting sqref="J2:J57">
    <cfRule type="colorScale" priority="9">
      <colorScale>
        <cfvo type="min"/>
        <cfvo type="max"/>
        <color rgb="FFFF8BAC"/>
        <color rgb="FFF74779"/>
      </colorScale>
    </cfRule>
  </conditionalFormatting>
  <conditionalFormatting sqref="M2:M11">
    <cfRule type="colorScale" priority="8">
      <colorScale>
        <cfvo type="min"/>
        <cfvo type="max"/>
        <color rgb="FFFF8BAC"/>
        <color rgb="FFF74779"/>
      </colorScale>
    </cfRule>
  </conditionalFormatting>
  <conditionalFormatting sqref="P2:P17">
    <cfRule type="colorScale" priority="7">
      <colorScale>
        <cfvo type="min"/>
        <cfvo type="max"/>
        <color rgb="FFFF8BAC"/>
        <color rgb="FFF74779"/>
      </colorScale>
    </cfRule>
  </conditionalFormatting>
  <conditionalFormatting sqref="S2:S49">
    <cfRule type="colorScale" priority="6">
      <colorScale>
        <cfvo type="min"/>
        <cfvo type="max"/>
        <color rgb="FFFF8BAC"/>
        <color rgb="FFF74779"/>
      </colorScale>
    </cfRule>
  </conditionalFormatting>
  <conditionalFormatting sqref="V2:V36">
    <cfRule type="colorScale" priority="5">
      <colorScale>
        <cfvo type="min"/>
        <cfvo type="max"/>
        <color rgb="FFFF8BAC"/>
        <color rgb="FFF74779"/>
      </colorScale>
    </cfRule>
  </conditionalFormatting>
  <conditionalFormatting sqref="Y2:Y23">
    <cfRule type="colorScale" priority="4">
      <colorScale>
        <cfvo type="min"/>
        <cfvo type="max"/>
        <color rgb="FFFF8BAC"/>
        <color rgb="FFF74779"/>
      </colorScale>
    </cfRule>
  </conditionalFormatting>
  <conditionalFormatting sqref="AB2:AB57">
    <cfRule type="colorScale" priority="3">
      <colorScale>
        <cfvo type="min"/>
        <cfvo type="max"/>
        <color rgb="FFFF8BAC"/>
        <color rgb="FFF74779"/>
      </colorScale>
    </cfRule>
  </conditionalFormatting>
  <conditionalFormatting sqref="AE2:AE11">
    <cfRule type="colorScale" priority="2">
      <colorScale>
        <cfvo type="min"/>
        <cfvo type="max"/>
        <color rgb="FFFF8BAC"/>
        <color rgb="FFF74779"/>
      </colorScale>
    </cfRule>
  </conditionalFormatting>
  <conditionalFormatting sqref="AH2:AH17">
    <cfRule type="colorScale" priority="1">
      <colorScale>
        <cfvo type="min"/>
        <cfvo type="max"/>
        <color rgb="FFFF8BAC"/>
        <color rgb="FFF74779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24BD-AD07-48A6-8AC2-4AB4DBC6FB89}">
  <dimension ref="A1:N11"/>
  <sheetViews>
    <sheetView workbookViewId="0">
      <selection activeCell="C34" sqref="C34"/>
    </sheetView>
  </sheetViews>
  <sheetFormatPr defaultRowHeight="15" x14ac:dyDescent="0.25"/>
  <cols>
    <col min="1" max="1" width="15.42578125" bestFit="1" customWidth="1"/>
    <col min="2" max="2" width="17.28515625" bestFit="1" customWidth="1"/>
    <col min="4" max="4" width="15.42578125" bestFit="1" customWidth="1"/>
    <col min="5" max="5" width="13.85546875" bestFit="1" customWidth="1"/>
    <col min="7" max="7" width="11.7109375" bestFit="1" customWidth="1"/>
    <col min="8" max="8" width="17.28515625" bestFit="1" customWidth="1"/>
    <col min="10" max="10" width="15.42578125" bestFit="1" customWidth="1"/>
    <col min="11" max="11" width="13.28515625" bestFit="1" customWidth="1"/>
    <col min="13" max="13" width="21.7109375" bestFit="1" customWidth="1"/>
    <col min="14" max="14" width="17.28515625" bestFit="1" customWidth="1"/>
  </cols>
  <sheetData>
    <row r="1" spans="1:14" x14ac:dyDescent="0.25">
      <c r="A1" s="9" t="s">
        <v>233</v>
      </c>
      <c r="B1" s="9" t="s">
        <v>216</v>
      </c>
      <c r="D1" s="9" t="s">
        <v>233</v>
      </c>
      <c r="E1" s="9" t="s">
        <v>217</v>
      </c>
      <c r="G1" s="9" t="s">
        <v>233</v>
      </c>
      <c r="H1" s="9" t="s">
        <v>218</v>
      </c>
      <c r="J1" s="9" t="s">
        <v>233</v>
      </c>
      <c r="K1" s="9" t="s">
        <v>219</v>
      </c>
      <c r="M1" s="9" t="s">
        <v>232</v>
      </c>
      <c r="N1" s="9" t="s">
        <v>216</v>
      </c>
    </row>
    <row r="2" spans="1:14" x14ac:dyDescent="0.25">
      <c r="A2" s="8" t="s">
        <v>195</v>
      </c>
      <c r="B2">
        <v>4290259</v>
      </c>
      <c r="D2" s="8" t="s">
        <v>195</v>
      </c>
      <c r="E2">
        <v>148011</v>
      </c>
      <c r="G2" s="8" t="s">
        <v>44</v>
      </c>
      <c r="H2">
        <v>1846641</v>
      </c>
      <c r="J2" s="8" t="s">
        <v>195</v>
      </c>
      <c r="K2">
        <v>2816444</v>
      </c>
      <c r="M2" s="8" t="s">
        <v>24</v>
      </c>
      <c r="N2">
        <v>8839286</v>
      </c>
    </row>
    <row r="3" spans="1:14" x14ac:dyDescent="0.25">
      <c r="A3" s="8" t="s">
        <v>44</v>
      </c>
      <c r="B3">
        <v>2442375</v>
      </c>
      <c r="D3" s="8" t="s">
        <v>44</v>
      </c>
      <c r="E3">
        <v>87618</v>
      </c>
      <c r="G3" s="8" t="s">
        <v>195</v>
      </c>
      <c r="H3">
        <v>1325804</v>
      </c>
      <c r="J3" s="8" t="s">
        <v>44</v>
      </c>
      <c r="K3">
        <v>508116</v>
      </c>
      <c r="M3" s="8" t="s">
        <v>18</v>
      </c>
      <c r="N3">
        <v>3299523</v>
      </c>
    </row>
    <row r="4" spans="1:14" x14ac:dyDescent="0.25">
      <c r="A4" s="8" t="s">
        <v>101</v>
      </c>
      <c r="B4">
        <v>1480073</v>
      </c>
      <c r="D4" s="8" t="s">
        <v>199</v>
      </c>
      <c r="E4">
        <v>45844</v>
      </c>
      <c r="G4" s="8" t="s">
        <v>101</v>
      </c>
      <c r="H4">
        <v>951166</v>
      </c>
      <c r="J4" s="8" t="s">
        <v>101</v>
      </c>
      <c r="K4">
        <v>495499</v>
      </c>
      <c r="M4" s="8" t="s">
        <v>34</v>
      </c>
      <c r="N4">
        <v>1835297</v>
      </c>
    </row>
    <row r="5" spans="1:14" x14ac:dyDescent="0.25">
      <c r="A5" s="8" t="s">
        <v>160</v>
      </c>
      <c r="B5">
        <v>816680</v>
      </c>
      <c r="D5" s="8" t="s">
        <v>133</v>
      </c>
      <c r="E5">
        <v>44022</v>
      </c>
      <c r="G5" s="8" t="s">
        <v>160</v>
      </c>
      <c r="H5">
        <v>602249</v>
      </c>
      <c r="J5" s="8" t="s">
        <v>199</v>
      </c>
      <c r="K5">
        <v>254427</v>
      </c>
      <c r="M5" s="8" t="s">
        <v>16</v>
      </c>
      <c r="N5">
        <v>1490744</v>
      </c>
    </row>
    <row r="6" spans="1:14" x14ac:dyDescent="0.25">
      <c r="A6" s="8" t="s">
        <v>176</v>
      </c>
      <c r="B6">
        <v>452529</v>
      </c>
      <c r="D6" s="8" t="s">
        <v>107</v>
      </c>
      <c r="E6">
        <v>35112</v>
      </c>
      <c r="G6" s="8" t="s">
        <v>57</v>
      </c>
      <c r="H6">
        <v>319954</v>
      </c>
      <c r="J6" s="8" t="s">
        <v>160</v>
      </c>
      <c r="K6">
        <v>201097</v>
      </c>
      <c r="M6" s="8" t="s">
        <v>20</v>
      </c>
      <c r="N6">
        <v>723207</v>
      </c>
    </row>
    <row r="7" spans="1:14" x14ac:dyDescent="0.25">
      <c r="A7" s="8" t="s">
        <v>133</v>
      </c>
      <c r="B7">
        <v>395489</v>
      </c>
      <c r="D7" s="8" t="s">
        <v>101</v>
      </c>
      <c r="E7">
        <v>33408</v>
      </c>
      <c r="G7" s="8" t="s">
        <v>133</v>
      </c>
      <c r="H7">
        <v>303810</v>
      </c>
      <c r="J7" s="8" t="s">
        <v>176</v>
      </c>
      <c r="K7">
        <v>170537</v>
      </c>
      <c r="M7" s="8" t="s">
        <v>28</v>
      </c>
      <c r="N7">
        <v>292428</v>
      </c>
    </row>
    <row r="8" spans="1:14" x14ac:dyDescent="0.25">
      <c r="A8" s="8" t="s">
        <v>154</v>
      </c>
      <c r="B8">
        <v>389717</v>
      </c>
      <c r="D8" s="8" t="s">
        <v>83</v>
      </c>
      <c r="E8">
        <v>30212</v>
      </c>
      <c r="G8" s="8" t="s">
        <v>176</v>
      </c>
      <c r="H8">
        <v>274925</v>
      </c>
      <c r="J8" s="8" t="s">
        <v>59</v>
      </c>
      <c r="K8">
        <v>117163</v>
      </c>
    </row>
    <row r="9" spans="1:14" x14ac:dyDescent="0.25">
      <c r="A9" s="8" t="s">
        <v>57</v>
      </c>
      <c r="B9">
        <v>347923</v>
      </c>
      <c r="D9" s="8" t="s">
        <v>179</v>
      </c>
      <c r="E9">
        <v>28432</v>
      </c>
      <c r="G9" s="8" t="s">
        <v>154</v>
      </c>
      <c r="H9">
        <v>272547</v>
      </c>
      <c r="J9" s="8" t="s">
        <v>83</v>
      </c>
      <c r="K9">
        <v>108928</v>
      </c>
    </row>
    <row r="10" spans="1:14" x14ac:dyDescent="0.25">
      <c r="A10" s="8" t="s">
        <v>199</v>
      </c>
      <c r="B10">
        <v>301708</v>
      </c>
      <c r="D10" s="8" t="s">
        <v>154</v>
      </c>
      <c r="E10">
        <v>18418</v>
      </c>
      <c r="G10" s="8" t="s">
        <v>103</v>
      </c>
      <c r="H10">
        <v>255144</v>
      </c>
      <c r="J10" s="8" t="s">
        <v>53</v>
      </c>
      <c r="K10">
        <v>107514</v>
      </c>
    </row>
    <row r="11" spans="1:14" x14ac:dyDescent="0.25">
      <c r="A11" s="8" t="s">
        <v>103</v>
      </c>
      <c r="B11">
        <v>293606</v>
      </c>
      <c r="D11" s="8" t="s">
        <v>103</v>
      </c>
      <c r="E11">
        <v>15912</v>
      </c>
      <c r="G11" s="8" t="s">
        <v>150</v>
      </c>
      <c r="H11">
        <v>241026</v>
      </c>
      <c r="J11" s="8" t="s">
        <v>154</v>
      </c>
      <c r="K11">
        <v>98752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Cleaned_data</vt:lpstr>
      <vt:lpstr>Summary</vt:lpstr>
      <vt:lpstr>WHO_Region_Summary</vt:lpstr>
      <vt:lpstr>Top_Confirmed</vt:lpstr>
      <vt:lpstr>Top_Deaths</vt:lpstr>
      <vt:lpstr>Confirmed_VS_Deaths</vt:lpstr>
      <vt:lpstr>Confirmed Cases VS Recovered</vt:lpstr>
      <vt:lpstr>Confirmed Cases VS Active Cases</vt:lpstr>
      <vt:lpstr>Dashboard</vt:lpstr>
      <vt:lpstr>Sheet5</vt:lpstr>
      <vt:lpstr>Sheet6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pathak</dc:creator>
  <cp:lastModifiedBy>Dhruv pathak</cp:lastModifiedBy>
  <dcterms:created xsi:type="dcterms:W3CDTF">2026-06-25T12:45:18Z</dcterms:created>
  <dcterms:modified xsi:type="dcterms:W3CDTF">2026-06-28T10:49:40Z</dcterms:modified>
</cp:coreProperties>
</file>